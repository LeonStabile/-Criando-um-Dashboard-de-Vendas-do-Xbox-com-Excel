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onardo Stabile\Downloads\"/>
    </mc:Choice>
  </mc:AlternateContent>
  <xr:revisionPtr revIDLastSave="0" documentId="13_ncr:1_{B192053E-7052-4C8E-BCB8-07FB0AC32398}" xr6:coauthVersionLast="47" xr6:coauthVersionMax="47" xr10:uidLastSave="{00000000-0000-0000-0000-000000000000}"/>
  <bookViews>
    <workbookView xWindow="-120" yWindow="-120" windowWidth="29040" windowHeight="1572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_xlchart.v1.0" hidden="1">C̳álculos!$D$50:$D$52</definedName>
    <definedName name="_xlchart.v1.1" hidden="1">C̳álculos!$C$50:$C$52</definedName>
    <definedName name="_xlchart.v1.2" hidden="1">C̳álculos!$D$50:$D$52</definedName>
    <definedName name="_xlchart.v1.3" hidden="1">C̳álculos!$C$50:$C$52</definedName>
    <definedName name="_xlchart.v1.4" hidden="1">C̳álculos!$D$50:$D$52</definedName>
  </definedNames>
  <calcPr calcId="18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2" i="3" l="1"/>
  <c r="D51" i="3"/>
  <c r="D50" i="3"/>
  <c r="K23" i="3"/>
  <c r="K22" i="3"/>
  <c r="K21" i="3"/>
  <c r="K20" i="3"/>
  <c r="K19" i="3"/>
</calcChain>
</file>

<file path=xl/sharedStrings.xml><?xml version="1.0" encoding="utf-8"?>
<sst xmlns="http://schemas.openxmlformats.org/spreadsheetml/2006/main" count="2045" uniqueCount="328">
  <si>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</si>
  <si>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</si>
  <si>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</si>
  <si>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</si>
  <si>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</si>
  <si>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</si>
  <si>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</si>
  <si>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</si>
  <si>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</si>
  <si>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</si>
  <si>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</si>
  <si>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</si>
  <si>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</si>
  <si>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</si>
  <si>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</si>
  <si>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</si>
  <si>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</si>
  <si>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</si>
  <si>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</si>
  <si>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</si>
  <si>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</si>
  <si>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</si>
  <si>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</si>
  <si>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</si>
  <si>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</si>
  <si>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</si>
  <si>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</si>
  <si>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</si>
  <si>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</si>
  <si>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</si>
  <si>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</si>
  <si>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</si>
  <si>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</si>
  <si>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</si>
  <si>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</si>
  <si>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</si>
  <si>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</si>
  <si>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</si>
  <si>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</si>
  <si>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</si>
  <si>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</si>
  <si>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</si>
  <si>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</si>
  <si>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</si>
  <si>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</si>
  <si>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</si>
  <si>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</si>
  <si>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</si>
  <si>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</si>
  <si>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</si>
  <si>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</si>
  <si>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</si>
  <si>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</si>
  <si>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</si>
  <si>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</si>
  <si>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</si>
  <si>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</si>
  <si>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</si>
  <si>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</si>
  <si>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</si>
  <si>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</si>
  <si>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</si>
  <si>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</si>
  <si>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</si>
  <si>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</si>
  <si>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</si>
  <si>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</si>
  <si>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</si>
  <si>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</si>
  <si>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</si>
  <si>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</si>
  <si>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</si>
  <si>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</si>
  <si>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</si>
  <si>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</si>
  <si>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</si>
  <si>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</si>
  <si>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</si>
  <si>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</si>
  <si>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</si>
  <si>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</si>
  <si>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</si>
  <si>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</si>
  <si>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</si>
  <si>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</si>
  <si>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</si>
  <si>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</si>
  <si>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</si>
  <si>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</si>
  <si>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</si>
  <si>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</si>
  <si>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</si>
  <si>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</si>
  <si>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</si>
  <si>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</si>
  <si>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</si>
  <si>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</si>
  <si>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</si>
  <si>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</si>
  <si>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</si>
  <si>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</si>
  <si>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</si>
  <si>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</si>
  <si>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</si>
  <si>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</si>
  <si>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</si>
  <si>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</si>
  <si>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</si>
  <si>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</si>
  <si>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</si>
  <si>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</si>
  <si>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</si>
  <si>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</si>
  <si>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</si>
  <si>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</si>
  <si>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</si>
  <si>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</si>
  <si>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</si>
  <si>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</si>
  <si>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</si>
  <si>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</si>
  <si>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</si>
  <si>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</si>
  <si>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</si>
  <si>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</si>
  <si>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</si>
  <si>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</si>
  <si>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</si>
  <si>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</si>
  <si>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</si>
  <si>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</si>
  <si>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</si>
  <si>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</si>
  <si>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</si>
  <si>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</si>
  <si>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</si>
  <si>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</si>
  <si>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</si>
  <si>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</si>
  <si>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</si>
  <si>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</si>
  <si>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</si>
  <si>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</si>
  <si>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</si>
  <si>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</si>
  <si>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</si>
  <si>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</si>
  <si>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</si>
  <si>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</si>
  <si>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</si>
  <si>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</si>
  <si>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</si>
  <si>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</si>
  <si>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</si>
  <si>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</si>
  <si>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</si>
  <si>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</si>
  <si>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</si>
  <si>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</si>
  <si>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</si>
  <si>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</si>
  <si>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</si>
  <si>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</si>
  <si>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</si>
  <si>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</si>
  <si>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</si>
  <si>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</si>
  <si>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</si>
  <si>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</si>
  <si>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</si>
  <si>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</si>
  <si>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</si>
  <si>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</si>
  <si>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</si>
  <si>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</si>
  <si>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</si>
  <si>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</si>
  <si>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</si>
  <si>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</si>
  <si>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</si>
  <si>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</si>
  <si>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</si>
  <si>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</si>
  <si>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</si>
  <si>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</si>
  <si>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</si>
  <si>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</si>
  <si>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</si>
  <si>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</si>
  <si>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</si>
  <si>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</si>
  <si>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</si>
  <si>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</si>
  <si>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</si>
  <si>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</si>
  <si>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</si>
  <si>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</si>
  <si>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</si>
  <si>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</si>
  <si>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</si>
  <si>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</si>
  <si>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</si>
  <si>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</si>
  <si>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</si>
  <si>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</si>
  <si>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</si>
  <si>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</si>
  <si>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</si>
  <si>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</si>
  <si>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</si>
  <si>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</si>
  <si>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</si>
  <si>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</si>
  <si>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</si>
  <si>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</si>
  <si>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</si>
  <si>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</si>
  <si>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</si>
  <si>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</si>
  <si>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</si>
  <si>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</si>
  <si>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</si>
  <si>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</si>
  <si>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</si>
  <si>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</si>
  <si>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</si>
  <si>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</si>
  <si>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</si>
  <si>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</si>
  <si>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</si>
  <si>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</si>
  <si>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</si>
  <si>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</si>
  <si>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</si>
  <si>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</si>
  <si>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</si>
  <si>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</si>
  <si>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</si>
  <si>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</si>
  <si>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</si>
  <si>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</si>
  <si>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</si>
  <si>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</si>
  <si>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</si>
  <si>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</si>
  <si>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</si>
  <si>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</si>
  <si>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</si>
  <si>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</si>
  <si>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</si>
  <si>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</si>
  <si>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</si>
  <si>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</si>
  <si>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</si>
  <si>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</si>
  <si>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</si>
  <si>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</si>
  <si>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</si>
  <si>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</si>
  <si>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</si>
  <si>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</si>
  <si>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</si>
  <si>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</si>
  <si>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</si>
  <si>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</si>
  <si>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</si>
  <si>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</si>
  <si>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</si>
  <si>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</si>
  <si>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</si>
  <si>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</si>
  <si>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</si>
  <si>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</si>
  <si>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</si>
  <si>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</si>
  <si>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</si>
  <si>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</si>
  <si>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</si>
  <si>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</si>
  <si>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</si>
  <si>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</si>
  <si>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</si>
  <si>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</si>
  <si>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</si>
  <si>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</si>
  <si>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</si>
  <si>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</si>
  <si>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</si>
  <si>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</si>
  <si>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</si>
  <si>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</si>
  <si>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</si>
  <si>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</si>
  <si>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</si>
  <si>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</si>
  <si>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</si>
  <si>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</si>
  <si>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</si>
  <si>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</si>
  <si>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</si>
  <si>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</si>
  <si>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</si>
  <si>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</si>
  <si>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</si>
  <si>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</si>
  <si>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</si>
  <si>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</si>
  <si>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</si>
  <si>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</si>
  <si>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</si>
  <si>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</si>
  <si>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</si>
  <si>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</si>
  <si>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Row Labels</t>
  </si>
  <si>
    <t>Grand Total</t>
  </si>
  <si>
    <t>Sum of Subscription Price</t>
  </si>
  <si>
    <t>Sum of Total Value</t>
  </si>
  <si>
    <t>Count of Subscription Type</t>
  </si>
  <si>
    <t>Total</t>
  </si>
  <si>
    <t>Assinantes</t>
  </si>
  <si>
    <t>Ticket médio</t>
  </si>
  <si>
    <t>Taxa de renov</t>
  </si>
  <si>
    <t>Adesao ao Addons</t>
  </si>
  <si>
    <t>Sum of Minecraft Season Pass Price</t>
  </si>
  <si>
    <t>Sum of EA Play Season Pass</t>
  </si>
  <si>
    <t>Receita de assinaturas</t>
  </si>
  <si>
    <t>Receita EA Play</t>
  </si>
  <si>
    <t>Receita Minecraft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</si>
</sst>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  <xf numFmtId="44" fontId="0" fillId="0" borderId="0" xfId="0" applyNumberFormat="1" applyAlignment="1">
      <alignment horizontal="left"/>
    </xf>
    <xf numFmtId="44" fontId="0" fillId="0" borderId="0" xfId="2" applyFont="1"/>
  </cellXfs>
  <cellStyles count="3">
    <cellStyle name="Currency" xfId="2" builtinId="4"/>
    <cellStyle name="Heading 1" xfId="1" builtinId="16"/>
    <cellStyle name="Normal" xfId="0" builtinId="0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AE6B1"/>
      <color rgb="FF22C55E"/>
      <color rgb="FFE8E6E9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tx1"/>
                </a:solidFill>
              </a:rPr>
              <a:t>Vendas por plano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C̳álculos!$E$12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C̳álculos!$D$13:$D$16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C̳álculos!$E$13:$E$16</c:f>
              <c:numCache>
                <c:formatCode>_("R$"* #,##0.00_);_("R$"* \(#,##0.00\);_("R$"* "-"??_);_(@_)</c:formatCode>
                <c:ptCount val="3"/>
                <c:pt idx="0">
                  <c:v>440</c:v>
                </c:pt>
                <c:pt idx="1">
                  <c:v>1786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A-4319-A199-B255EF3DEC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268313519"/>
        <c:axId val="1268311119"/>
      </c:barChart>
      <c:catAx>
        <c:axId val="126831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8311119"/>
        <c:crosses val="autoZero"/>
        <c:auto val="1"/>
        <c:lblAlgn val="ctr"/>
        <c:lblOffset val="100"/>
        <c:noMultiLvlLbl val="0"/>
      </c:catAx>
      <c:valAx>
        <c:axId val="126831111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6831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 b="1">
                <a:solidFill>
                  <a:schemeClr val="tx1"/>
                </a:solidFill>
              </a:rPr>
              <a:t>Popularidade</a:t>
            </a:r>
            <a:r>
              <a:rPr lang="en-US" sz="3200" b="1" baseline="0">
                <a:solidFill>
                  <a:schemeClr val="tx1"/>
                </a:solidFill>
              </a:rPr>
              <a:t> dos planos</a:t>
            </a:r>
            <a:endParaRPr lang="en-US" sz="32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C̳álculos!$K$12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65-4BA9-A4AD-EABD28B431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65-4BA9-A4AD-EABD28B431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E65-4BA9-A4AD-EABD28B431D8}"/>
              </c:ext>
            </c:extLst>
          </c:dPt>
          <c:cat>
            <c:strRef>
              <c:f>C̳álculos!$J$13:$J$16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C̳álculos!$K$13:$K$16</c:f>
              <c:numCache>
                <c:formatCode>_("R$"* #,##0.00_);_("R$"* \(#,##0.00\);_("R$"* "-"??_);_(@_)</c:formatCode>
                <c:ptCount val="3"/>
                <c:pt idx="0">
                  <c:v>1739</c:v>
                </c:pt>
                <c:pt idx="1">
                  <c:v>3567</c:v>
                </c:pt>
                <c:pt idx="2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65-4BA9-A4AD-EABD28B43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E6-4F49-976C-95C7D375A1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E6-4F49-976C-95C7D375A1A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E6-4F49-976C-95C7D375A1AF}"/>
              </c:ext>
            </c:extLst>
          </c:dPt>
          <c:cat>
            <c:strRef>
              <c:f>C̳álculos!$C$50:$C$52</c:f>
              <c:strCache>
                <c:ptCount val="3"/>
                <c:pt idx="0">
                  <c:v>Receita de assinaturas</c:v>
                </c:pt>
                <c:pt idx="1">
                  <c:v>Receita EA Play</c:v>
                </c:pt>
                <c:pt idx="2">
                  <c:v>Receita Minecraft Pass</c:v>
                </c:pt>
              </c:strCache>
            </c:strRef>
          </c:cat>
          <c:val>
            <c:numRef>
              <c:f>C̳álculos!$D$50:$D$52</c:f>
              <c:numCache>
                <c:formatCode>_("R$"* #,##0.00_);_("R$"* \(#,##0.00\);_("R$"* "-"??_);_(@_)</c:formatCode>
                <c:ptCount val="3"/>
                <c:pt idx="0">
                  <c:v>2920</c:v>
                </c:pt>
                <c:pt idx="1">
                  <c:v>2940</c:v>
                </c:pt>
                <c:pt idx="2">
                  <c:v>3860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E6-4F49-976C-95C7D375A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10</xdr:col>
      <xdr:colOff>247650</xdr:colOff>
      <xdr:row>31</xdr:row>
      <xdr:rowOff>9525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8555C18-D4E8-B976-5AA8-690569AFF91F}"/>
            </a:ext>
          </a:extLst>
        </xdr:cNvPr>
        <xdr:cNvSpPr txBox="1"/>
      </xdr:nvSpPr>
      <xdr:spPr>
        <a:xfrm>
          <a:off x="10991850" y="5915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202407</xdr:colOff>
      <xdr:row>1</xdr:row>
      <xdr:rowOff>119062</xdr:rowOff>
    </xdr:from>
    <xdr:to>
      <xdr:col>0</xdr:col>
      <xdr:colOff>2562564</xdr:colOff>
      <xdr:row>5</xdr:row>
      <xdr:rowOff>11906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9C4AE4B-D229-401A-86B5-DDD76AB0A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407" y="309562"/>
          <a:ext cx="2360157" cy="726282"/>
        </a:xfrm>
        <a:prstGeom prst="rect">
          <a:avLst/>
        </a:prstGeom>
      </xdr:spPr>
    </xdr:pic>
    <xdr:clientData/>
  </xdr:twoCellAnchor>
  <xdr:twoCellAnchor>
    <xdr:from>
      <xdr:col>2</xdr:col>
      <xdr:colOff>47625</xdr:colOff>
      <xdr:row>1</xdr:row>
      <xdr:rowOff>178595</xdr:rowOff>
    </xdr:from>
    <xdr:to>
      <xdr:col>6</xdr:col>
      <xdr:colOff>438150</xdr:colOff>
      <xdr:row>6</xdr:row>
      <xdr:rowOff>359570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4776915-4E6D-471B-9CA6-9E12EDA6540D}"/>
            </a:ext>
          </a:extLst>
        </xdr:cNvPr>
        <xdr:cNvSpPr/>
      </xdr:nvSpPr>
      <xdr:spPr>
        <a:xfrm>
          <a:off x="3059906" y="369095"/>
          <a:ext cx="2819400" cy="1133475"/>
        </a:xfrm>
        <a:prstGeom prst="roundRect">
          <a:avLst/>
        </a:prstGeom>
        <a:solidFill>
          <a:srgbClr val="2AE6B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Faturamento</a:t>
          </a:r>
          <a:r>
            <a:rPr lang="pt-BR" sz="20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total</a:t>
          </a:r>
          <a:endParaRPr lang="pt-BR" sz="20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2</xdr:col>
      <xdr:colOff>57150</xdr:colOff>
      <xdr:row>2</xdr:row>
      <xdr:rowOff>97631</xdr:rowOff>
    </xdr:from>
    <xdr:ext cx="2800350" cy="468013"/>
    <xdr:sp macro="" textlink="C̳álculos!K19">
      <xdr:nvSpPr>
        <xdr:cNvPr id="5" name="TextBox 4">
          <a:extLst>
            <a:ext uri="{FF2B5EF4-FFF2-40B4-BE49-F238E27FC236}">
              <a16:creationId xmlns:a16="http://schemas.microsoft.com/office/drawing/2014/main" id="{553796E6-C445-4829-BE7C-8D0F7CF51C27}"/>
            </a:ext>
          </a:extLst>
        </xdr:cNvPr>
        <xdr:cNvSpPr txBox="1"/>
      </xdr:nvSpPr>
      <xdr:spPr>
        <a:xfrm>
          <a:off x="3069431" y="788194"/>
          <a:ext cx="2800350" cy="468013"/>
        </a:xfrm>
        <a:prstGeom prst="rect">
          <a:avLst/>
        </a:prstGeom>
        <a:solidFill>
          <a:srgbClr val="2AE6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93E9E2F5-2A13-47AA-A147-E15936C8A121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t> R$ 7.614,00 </a:t>
          </a:fld>
          <a:endParaRPr lang="pt-BR" sz="5400"/>
        </a:p>
      </xdr:txBody>
    </xdr:sp>
    <xdr:clientData/>
  </xdr:oneCellAnchor>
  <xdr:twoCellAnchor>
    <xdr:from>
      <xdr:col>7</xdr:col>
      <xdr:colOff>164306</xdr:colOff>
      <xdr:row>1</xdr:row>
      <xdr:rowOff>188120</xdr:rowOff>
    </xdr:from>
    <xdr:to>
      <xdr:col>12</xdr:col>
      <xdr:colOff>114300</xdr:colOff>
      <xdr:row>6</xdr:row>
      <xdr:rowOff>369095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98D0E7DF-C286-4931-B80A-0296E223E8FE}"/>
            </a:ext>
          </a:extLst>
        </xdr:cNvPr>
        <xdr:cNvSpPr/>
      </xdr:nvSpPr>
      <xdr:spPr>
        <a:xfrm>
          <a:off x="6212681" y="378620"/>
          <a:ext cx="2819400" cy="1133475"/>
        </a:xfrm>
        <a:prstGeom prst="roundRect">
          <a:avLst/>
        </a:prstGeom>
        <a:solidFill>
          <a:srgbClr val="2AE6B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Total</a:t>
          </a:r>
          <a:r>
            <a:rPr lang="pt-BR" sz="20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de Assinantes</a:t>
          </a:r>
          <a:endParaRPr lang="pt-BR" sz="20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7</xdr:col>
      <xdr:colOff>173831</xdr:colOff>
      <xdr:row>3</xdr:row>
      <xdr:rowOff>11906</xdr:rowOff>
    </xdr:from>
    <xdr:ext cx="2800350" cy="468013"/>
    <xdr:sp macro="" textlink="C̳álculos!K20">
      <xdr:nvSpPr>
        <xdr:cNvPr id="7" name="TextBox 6">
          <a:extLst>
            <a:ext uri="{FF2B5EF4-FFF2-40B4-BE49-F238E27FC236}">
              <a16:creationId xmlns:a16="http://schemas.microsoft.com/office/drawing/2014/main" id="{A2A30061-CC0D-48C1-AED6-88A13D65E47A}"/>
            </a:ext>
          </a:extLst>
        </xdr:cNvPr>
        <xdr:cNvSpPr txBox="1"/>
      </xdr:nvSpPr>
      <xdr:spPr>
        <a:xfrm>
          <a:off x="6222206" y="809625"/>
          <a:ext cx="2800350" cy="468013"/>
        </a:xfrm>
        <a:prstGeom prst="rect">
          <a:avLst/>
        </a:prstGeom>
        <a:solidFill>
          <a:srgbClr val="2AE6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3D2ACF13-687A-49F1-BFE5-3E14734E66E6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t>295</a:t>
          </a:fld>
          <a:endParaRPr lang="pt-BR" sz="2400"/>
        </a:p>
      </xdr:txBody>
    </xdr:sp>
    <xdr:clientData/>
  </xdr:oneCellAnchor>
  <xdr:twoCellAnchor>
    <xdr:from>
      <xdr:col>12</xdr:col>
      <xdr:colOff>328613</xdr:colOff>
      <xdr:row>1</xdr:row>
      <xdr:rowOff>185739</xdr:rowOff>
    </xdr:from>
    <xdr:to>
      <xdr:col>17</xdr:col>
      <xdr:colOff>111919</xdr:colOff>
      <xdr:row>6</xdr:row>
      <xdr:rowOff>366714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4747F522-9BCE-4A4A-9F58-8B5846C37359}"/>
            </a:ext>
          </a:extLst>
        </xdr:cNvPr>
        <xdr:cNvSpPr/>
      </xdr:nvSpPr>
      <xdr:spPr>
        <a:xfrm>
          <a:off x="9246394" y="376239"/>
          <a:ext cx="2819400" cy="1133475"/>
        </a:xfrm>
        <a:prstGeom prst="roundRect">
          <a:avLst/>
        </a:prstGeom>
        <a:solidFill>
          <a:srgbClr val="2AE6B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Ticket</a:t>
          </a:r>
          <a:r>
            <a:rPr lang="pt-BR" sz="20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médio</a:t>
          </a:r>
          <a:endParaRPr lang="pt-BR" sz="20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12</xdr:col>
      <xdr:colOff>338138</xdr:colOff>
      <xdr:row>3</xdr:row>
      <xdr:rowOff>9525</xdr:rowOff>
    </xdr:from>
    <xdr:ext cx="2800350" cy="468013"/>
    <xdr:sp macro="" textlink="C̳álculos!K21">
      <xdr:nvSpPr>
        <xdr:cNvPr id="9" name="TextBox 8">
          <a:extLst>
            <a:ext uri="{FF2B5EF4-FFF2-40B4-BE49-F238E27FC236}">
              <a16:creationId xmlns:a16="http://schemas.microsoft.com/office/drawing/2014/main" id="{4E663C02-6B12-42F3-AACA-15655C8615B6}"/>
            </a:ext>
          </a:extLst>
        </xdr:cNvPr>
        <xdr:cNvSpPr txBox="1"/>
      </xdr:nvSpPr>
      <xdr:spPr>
        <a:xfrm>
          <a:off x="9255919" y="807244"/>
          <a:ext cx="2800350" cy="468013"/>
        </a:xfrm>
        <a:prstGeom prst="rect">
          <a:avLst/>
        </a:prstGeom>
        <a:solidFill>
          <a:srgbClr val="2AE6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9E63B552-2871-494A-8A40-AA1BADA32F6D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t> R$ 25,99 </a:t>
          </a:fld>
          <a:endParaRPr lang="pt-BR" sz="2400"/>
        </a:p>
      </xdr:txBody>
    </xdr:sp>
    <xdr:clientData/>
  </xdr:oneCellAnchor>
  <xdr:twoCellAnchor>
    <xdr:from>
      <xdr:col>17</xdr:col>
      <xdr:colOff>316706</xdr:colOff>
      <xdr:row>1</xdr:row>
      <xdr:rowOff>185738</xdr:rowOff>
    </xdr:from>
    <xdr:to>
      <xdr:col>22</xdr:col>
      <xdr:colOff>100012</xdr:colOff>
      <xdr:row>6</xdr:row>
      <xdr:rowOff>366713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E52C3A1F-6E04-4C98-B83E-A6BBF1A65A9C}"/>
            </a:ext>
          </a:extLst>
        </xdr:cNvPr>
        <xdr:cNvSpPr/>
      </xdr:nvSpPr>
      <xdr:spPr>
        <a:xfrm>
          <a:off x="12270581" y="376238"/>
          <a:ext cx="2819400" cy="1133475"/>
        </a:xfrm>
        <a:prstGeom prst="roundRect">
          <a:avLst/>
        </a:prstGeom>
        <a:solidFill>
          <a:srgbClr val="2AE6B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Renovação</a:t>
          </a:r>
          <a:r>
            <a:rPr lang="pt-BR" sz="18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automática</a:t>
          </a:r>
          <a:endParaRPr lang="pt-BR" sz="18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17</xdr:col>
      <xdr:colOff>326231</xdr:colOff>
      <xdr:row>3</xdr:row>
      <xdr:rowOff>9524</xdr:rowOff>
    </xdr:from>
    <xdr:ext cx="2800350" cy="468013"/>
    <xdr:sp macro="" textlink="C̳álculos!K22">
      <xdr:nvSpPr>
        <xdr:cNvPr id="11" name="TextBox 10">
          <a:extLst>
            <a:ext uri="{FF2B5EF4-FFF2-40B4-BE49-F238E27FC236}">
              <a16:creationId xmlns:a16="http://schemas.microsoft.com/office/drawing/2014/main" id="{11591AB6-C492-4050-AB39-8EF769B33738}"/>
            </a:ext>
          </a:extLst>
        </xdr:cNvPr>
        <xdr:cNvSpPr txBox="1"/>
      </xdr:nvSpPr>
      <xdr:spPr>
        <a:xfrm>
          <a:off x="12280106" y="807243"/>
          <a:ext cx="2800350" cy="468013"/>
        </a:xfrm>
        <a:prstGeom prst="rect">
          <a:avLst/>
        </a:prstGeom>
        <a:solidFill>
          <a:srgbClr val="2AE6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C091ADBE-B7FA-4152-94A2-F76C77F5DB27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t>50,17%</a:t>
          </a:fld>
          <a:endParaRPr lang="pt-BR" sz="2400"/>
        </a:p>
      </xdr:txBody>
    </xdr:sp>
    <xdr:clientData/>
  </xdr:oneCellAnchor>
  <xdr:twoCellAnchor>
    <xdr:from>
      <xdr:col>1</xdr:col>
      <xdr:colOff>142875</xdr:colOff>
      <xdr:row>9</xdr:row>
      <xdr:rowOff>178594</xdr:rowOff>
    </xdr:from>
    <xdr:to>
      <xdr:col>16</xdr:col>
      <xdr:colOff>81643</xdr:colOff>
      <xdr:row>64</xdr:row>
      <xdr:rowOff>69272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E3AB6C9-D61A-430D-A92A-F7784852D3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568099</xdr:colOff>
      <xdr:row>10</xdr:row>
      <xdr:rowOff>45923</xdr:rowOff>
    </xdr:from>
    <xdr:to>
      <xdr:col>30</xdr:col>
      <xdr:colOff>190500</xdr:colOff>
      <xdr:row>36</xdr:row>
      <xdr:rowOff>136072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B0D736F-7FD8-48A1-80A3-B81FE90B47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296295</xdr:colOff>
      <xdr:row>1</xdr:row>
      <xdr:rowOff>158523</xdr:rowOff>
    </xdr:from>
    <xdr:to>
      <xdr:col>27</xdr:col>
      <xdr:colOff>79600</xdr:colOff>
      <xdr:row>6</xdr:row>
      <xdr:rowOff>339498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9B210877-E6BA-475B-9135-844C3F283DE7}"/>
            </a:ext>
          </a:extLst>
        </xdr:cNvPr>
        <xdr:cNvSpPr/>
      </xdr:nvSpPr>
      <xdr:spPr>
        <a:xfrm>
          <a:off x="15386616" y="349023"/>
          <a:ext cx="2844913" cy="1133475"/>
        </a:xfrm>
        <a:prstGeom prst="roundRect">
          <a:avLst/>
        </a:prstGeom>
        <a:solidFill>
          <a:srgbClr val="2AE6B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Adesao</a:t>
          </a:r>
          <a:r>
            <a:rPr lang="pt-BR" sz="18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a AddOns</a:t>
          </a:r>
          <a:endParaRPr lang="pt-BR" sz="18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22</xdr:col>
      <xdr:colOff>305820</xdr:colOff>
      <xdr:row>2</xdr:row>
      <xdr:rowOff>91166</xdr:rowOff>
    </xdr:from>
    <xdr:ext cx="2800350" cy="468013"/>
    <xdr:sp macro="" textlink="C̳álculos!K23">
      <xdr:nvSpPr>
        <xdr:cNvPr id="15" name="TextBox 14">
          <a:extLst>
            <a:ext uri="{FF2B5EF4-FFF2-40B4-BE49-F238E27FC236}">
              <a16:creationId xmlns:a16="http://schemas.microsoft.com/office/drawing/2014/main" id="{797E5DE9-FD25-4E84-BE2B-2A3F2C33950F}"/>
            </a:ext>
          </a:extLst>
        </xdr:cNvPr>
        <xdr:cNvSpPr txBox="1"/>
      </xdr:nvSpPr>
      <xdr:spPr>
        <a:xfrm>
          <a:off x="15396141" y="771523"/>
          <a:ext cx="2800350" cy="468013"/>
        </a:xfrm>
        <a:prstGeom prst="rect">
          <a:avLst/>
        </a:prstGeom>
        <a:solidFill>
          <a:srgbClr val="2AE6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BFE54D0B-9B9B-420C-879A-D065D1D04799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t>33,45%</a:t>
          </a:fld>
          <a:endParaRPr lang="pt-BR" sz="4800"/>
        </a:p>
      </xdr:txBody>
    </xdr:sp>
    <xdr:clientData/>
  </xdr:oneCellAnchor>
  <xdr:twoCellAnchor>
    <xdr:from>
      <xdr:col>15</xdr:col>
      <xdr:colOff>502225</xdr:colOff>
      <xdr:row>39</xdr:row>
      <xdr:rowOff>17317</xdr:rowOff>
    </xdr:from>
    <xdr:to>
      <xdr:col>28</xdr:col>
      <xdr:colOff>415636</xdr:colOff>
      <xdr:row>64</xdr:row>
      <xdr:rowOff>121226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C85A510-C8EB-415C-B8B4-65C8856BA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nardo Stabile" refreshedDate="46106.797252199074" createdVersion="8" refreshedVersion="8" minRefreshableVersion="3" recordCount="293" xr:uid="{E1EEA716-1174-4BB4-9DA0-C494C983D9C4}">
  <cacheSource type="worksheet">
    <worksheetSource ref="A1:M294" sheet="B̳ases"/>
  </cacheSource>
  <cacheFields count="13">
    <cacheField name="Subscriber ID" numFmtId="0">
      <sharedItems containsSemiMixedTypes="0" containsString="0" containsNumber="1" containsInteger="1" minValue="3231" maxValue="3523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5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n v="3231"/>
    <s v="João Silva"/>
    <x v="0"/>
    <d v="2024-01-01T00:00:00"/>
    <x v="0"/>
    <n v="15"/>
    <x v="0"/>
    <s v="Yes"/>
    <x v="0"/>
    <s v="Yes"/>
    <n v="20"/>
    <n v="5"/>
    <x v="0"/>
  </r>
  <r>
    <n v="3232"/>
    <s v="Maria Oliveira"/>
    <x v="1"/>
    <d v="2024-01-15T00:00:00"/>
    <x v="1"/>
    <n v="5"/>
    <x v="1"/>
    <s v="No"/>
    <x v="1"/>
    <s v="No"/>
    <n v="0"/>
    <n v="0"/>
    <x v="1"/>
  </r>
  <r>
    <n v="3233"/>
    <s v="Lucas Fernandes"/>
    <x v="2"/>
    <d v="2024-02-10T00:00:00"/>
    <x v="0"/>
    <n v="10"/>
    <x v="2"/>
    <s v="No"/>
    <x v="1"/>
    <s v="Yes"/>
    <n v="20"/>
    <n v="10"/>
    <x v="2"/>
  </r>
  <r>
    <n v="3234"/>
    <s v="Ana Souza"/>
    <x v="0"/>
    <d v="2024-02-20T00:00:00"/>
    <x v="1"/>
    <n v="15"/>
    <x v="0"/>
    <s v="Yes"/>
    <x v="0"/>
    <s v="Yes"/>
    <n v="20"/>
    <n v="3"/>
    <x v="3"/>
  </r>
  <r>
    <n v="3235"/>
    <s v="Pedro Gonçalves"/>
    <x v="1"/>
    <d v="2024-03-05T00:00:00"/>
    <x v="0"/>
    <n v="5"/>
    <x v="0"/>
    <s v="No"/>
    <x v="1"/>
    <s v="No"/>
    <n v="0"/>
    <n v="1"/>
    <x v="4"/>
  </r>
  <r>
    <n v="3236"/>
    <s v="Felipe Costa"/>
    <x v="2"/>
    <d v="2024-03-02T00:00:00"/>
    <x v="1"/>
    <n v="10"/>
    <x v="0"/>
    <s v="No"/>
    <x v="1"/>
    <s v="Yes"/>
    <n v="20"/>
    <n v="2"/>
    <x v="5"/>
  </r>
  <r>
    <n v="3237"/>
    <s v="Camila Ribeiro"/>
    <x v="0"/>
    <d v="2024-03-03T00:00:00"/>
    <x v="0"/>
    <n v="15"/>
    <x v="2"/>
    <s v="Yes"/>
    <x v="0"/>
    <s v="Yes"/>
    <n v="20"/>
    <n v="10"/>
    <x v="6"/>
  </r>
  <r>
    <n v="3238"/>
    <s v="André Mendes"/>
    <x v="1"/>
    <d v="2024-03-04T00:00:00"/>
    <x v="0"/>
    <n v="5"/>
    <x v="1"/>
    <s v="No"/>
    <x v="1"/>
    <s v="No"/>
    <n v="0"/>
    <n v="0"/>
    <x v="1"/>
  </r>
  <r>
    <n v="3239"/>
    <s v="Sofia Almeida"/>
    <x v="0"/>
    <d v="2024-03-05T00:00:00"/>
    <x v="1"/>
    <n v="15"/>
    <x v="0"/>
    <s v="Yes"/>
    <x v="0"/>
    <s v="Yes"/>
    <n v="20"/>
    <n v="5"/>
    <x v="0"/>
  </r>
  <r>
    <n v="3240"/>
    <s v="Bruno Martins"/>
    <x v="2"/>
    <d v="2024-03-06T00:00:00"/>
    <x v="0"/>
    <n v="10"/>
    <x v="2"/>
    <s v="No"/>
    <x v="1"/>
    <s v="Yes"/>
    <n v="20"/>
    <n v="15"/>
    <x v="7"/>
  </r>
  <r>
    <n v="3241"/>
    <s v="Rita Castro"/>
    <x v="1"/>
    <d v="2024-03-07T00:00:00"/>
    <x v="1"/>
    <n v="5"/>
    <x v="0"/>
    <s v="No"/>
    <x v="1"/>
    <s v="No"/>
    <n v="0"/>
    <n v="1"/>
    <x v="4"/>
  </r>
  <r>
    <n v="3242"/>
    <s v="Marco Túlio"/>
    <x v="0"/>
    <d v="2024-03-08T00:00:00"/>
    <x v="0"/>
    <n v="15"/>
    <x v="1"/>
    <s v="Yes"/>
    <x v="0"/>
    <s v="Yes"/>
    <n v="20"/>
    <n v="20"/>
    <x v="8"/>
  </r>
  <r>
    <n v="3243"/>
    <s v="Lívia Silveira"/>
    <x v="2"/>
    <d v="2024-03-09T00:00:00"/>
    <x v="1"/>
    <n v="10"/>
    <x v="0"/>
    <s v="No"/>
    <x v="1"/>
    <s v="Yes"/>
    <n v="20"/>
    <n v="10"/>
    <x v="2"/>
  </r>
  <r>
    <n v="3244"/>
    <s v="Diogo Sousa"/>
    <x v="1"/>
    <d v="2024-03-10T00:00:00"/>
    <x v="0"/>
    <n v="5"/>
    <x v="2"/>
    <s v="No"/>
    <x v="1"/>
    <s v="No"/>
    <n v="0"/>
    <n v="0"/>
    <x v="1"/>
  </r>
  <r>
    <n v="3245"/>
    <s v="Fernanda Lima"/>
    <x v="0"/>
    <d v="2024-03-11T00:00:00"/>
    <x v="1"/>
    <n v="15"/>
    <x v="0"/>
    <s v="Yes"/>
    <x v="0"/>
    <s v="Yes"/>
    <n v="20"/>
    <n v="8"/>
    <x v="9"/>
  </r>
  <r>
    <n v="3246"/>
    <s v="Caio Pereira"/>
    <x v="2"/>
    <d v="2024-03-12T00:00:00"/>
    <x v="0"/>
    <n v="10"/>
    <x v="1"/>
    <s v="No"/>
    <x v="1"/>
    <s v="Yes"/>
    <n v="20"/>
    <n v="12"/>
    <x v="10"/>
  </r>
  <r>
    <n v="3247"/>
    <s v="Beatriz Gomes"/>
    <x v="1"/>
    <d v="2024-03-13T00:00:00"/>
    <x v="1"/>
    <n v="5"/>
    <x v="0"/>
    <s v="No"/>
    <x v="1"/>
    <s v="No"/>
    <n v="0"/>
    <n v="2"/>
    <x v="11"/>
  </r>
  <r>
    <n v="3248"/>
    <s v="Cesar Oliveira"/>
    <x v="0"/>
    <d v="2024-03-14T00:00:00"/>
    <x v="0"/>
    <n v="15"/>
    <x v="2"/>
    <s v="Yes"/>
    <x v="0"/>
    <s v="Yes"/>
    <n v="20"/>
    <n v="7"/>
    <x v="12"/>
  </r>
  <r>
    <n v="3249"/>
    <s v="Débora Machado"/>
    <x v="2"/>
    <d v="2024-03-15T00:00:00"/>
    <x v="1"/>
    <n v="10"/>
    <x v="0"/>
    <s v="No"/>
    <x v="1"/>
    <s v="Yes"/>
    <n v="20"/>
    <n v="5"/>
    <x v="13"/>
  </r>
  <r>
    <n v="3250"/>
    <s v="Eduardo Vargas"/>
    <x v="1"/>
    <d v="2024-03-16T00:00:00"/>
    <x v="0"/>
    <n v="5"/>
    <x v="1"/>
    <s v="No"/>
    <x v="1"/>
    <s v="No"/>
    <n v="0"/>
    <n v="0"/>
    <x v="1"/>
  </r>
  <r>
    <n v="3251"/>
    <s v="Gabriela Santos"/>
    <x v="0"/>
    <d v="2024-03-17T00:00:00"/>
    <x v="1"/>
    <n v="15"/>
    <x v="0"/>
    <s v="Yes"/>
    <x v="0"/>
    <s v="Yes"/>
    <n v="20"/>
    <n v="3"/>
    <x v="3"/>
  </r>
  <r>
    <n v="3252"/>
    <s v="Henrique Dias"/>
    <x v="2"/>
    <d v="2024-03-18T00:00:00"/>
    <x v="0"/>
    <n v="10"/>
    <x v="2"/>
    <s v="No"/>
    <x v="1"/>
    <s v="Yes"/>
    <n v="20"/>
    <n v="15"/>
    <x v="7"/>
  </r>
  <r>
    <n v="3253"/>
    <s v="Isabela Moreira"/>
    <x v="1"/>
    <d v="2024-03-19T00:00:00"/>
    <x v="1"/>
    <n v="5"/>
    <x v="0"/>
    <s v="No"/>
    <x v="1"/>
    <s v="No"/>
    <n v="0"/>
    <n v="1"/>
    <x v="4"/>
  </r>
  <r>
    <n v="3254"/>
    <s v="Joaquim Barbosa"/>
    <x v="0"/>
    <d v="2024-03-20T00:00:00"/>
    <x v="0"/>
    <n v="15"/>
    <x v="1"/>
    <s v="Yes"/>
    <x v="0"/>
    <s v="Yes"/>
    <n v="20"/>
    <n v="20"/>
    <x v="8"/>
  </r>
  <r>
    <n v="3255"/>
    <s v="Lara Rocha"/>
    <x v="2"/>
    <d v="2024-03-21T00:00:00"/>
    <x v="1"/>
    <n v="10"/>
    <x v="0"/>
    <s v="No"/>
    <x v="1"/>
    <s v="Yes"/>
    <n v="20"/>
    <n v="10"/>
    <x v="2"/>
  </r>
  <r>
    <n v="3256"/>
    <s v="Matheus Silva"/>
    <x v="1"/>
    <d v="2024-03-22T00:00:00"/>
    <x v="0"/>
    <n v="5"/>
    <x v="2"/>
    <s v="No"/>
    <x v="1"/>
    <s v="No"/>
    <n v="0"/>
    <n v="0"/>
    <x v="1"/>
  </r>
  <r>
    <n v="3257"/>
    <s v="Nicole Costa"/>
    <x v="0"/>
    <d v="2024-03-23T00:00:00"/>
    <x v="1"/>
    <n v="15"/>
    <x v="0"/>
    <s v="Yes"/>
    <x v="0"/>
    <s v="Yes"/>
    <n v="20"/>
    <n v="5"/>
    <x v="0"/>
  </r>
  <r>
    <n v="3258"/>
    <s v="Otávio Mendonça"/>
    <x v="2"/>
    <d v="2024-03-24T00:00:00"/>
    <x v="0"/>
    <n v="10"/>
    <x v="1"/>
    <s v="No"/>
    <x v="1"/>
    <s v="Yes"/>
    <n v="20"/>
    <n v="15"/>
    <x v="7"/>
  </r>
  <r>
    <n v="3259"/>
    <s v="Paula Ferreira"/>
    <x v="1"/>
    <d v="2024-03-25T00:00:00"/>
    <x v="1"/>
    <n v="5"/>
    <x v="0"/>
    <s v="No"/>
    <x v="1"/>
    <s v="No"/>
    <n v="0"/>
    <n v="1"/>
    <x v="4"/>
  </r>
  <r>
    <n v="3260"/>
    <s v="Raquel Alves"/>
    <x v="0"/>
    <d v="2024-03-26T00:00:00"/>
    <x v="0"/>
    <n v="15"/>
    <x v="2"/>
    <s v="Yes"/>
    <x v="0"/>
    <s v="Yes"/>
    <n v="20"/>
    <n v="7"/>
    <x v="12"/>
  </r>
  <r>
    <n v="3261"/>
    <s v="Samuel Pires"/>
    <x v="2"/>
    <d v="2024-03-27T00:00:00"/>
    <x v="1"/>
    <n v="10"/>
    <x v="0"/>
    <s v="No"/>
    <x v="1"/>
    <s v="Yes"/>
    <n v="20"/>
    <n v="10"/>
    <x v="2"/>
  </r>
  <r>
    <n v="3262"/>
    <s v="Tânia Barros"/>
    <x v="1"/>
    <d v="2024-03-28T00:00:00"/>
    <x v="0"/>
    <n v="5"/>
    <x v="1"/>
    <s v="No"/>
    <x v="1"/>
    <s v="No"/>
    <n v="0"/>
    <n v="0"/>
    <x v="1"/>
  </r>
  <r>
    <n v="3263"/>
    <s v="Vinicius Lima"/>
    <x v="0"/>
    <d v="2024-03-29T00:00:00"/>
    <x v="1"/>
    <n v="15"/>
    <x v="0"/>
    <s v="Yes"/>
    <x v="0"/>
    <s v="Yes"/>
    <n v="20"/>
    <n v="3"/>
    <x v="3"/>
  </r>
  <r>
    <n v="3264"/>
    <s v="Yasmin Teixeira"/>
    <x v="2"/>
    <d v="2024-03-30T00:00:00"/>
    <x v="0"/>
    <n v="10"/>
    <x v="2"/>
    <s v="No"/>
    <x v="1"/>
    <s v="Yes"/>
    <n v="20"/>
    <n v="15"/>
    <x v="7"/>
  </r>
  <r>
    <n v="3265"/>
    <s v="Zé Carlos"/>
    <x v="1"/>
    <d v="2024-03-31T00:00:00"/>
    <x v="1"/>
    <n v="5"/>
    <x v="0"/>
    <s v="No"/>
    <x v="1"/>
    <s v="No"/>
    <n v="0"/>
    <n v="1"/>
    <x v="4"/>
  </r>
  <r>
    <n v="3266"/>
    <s v="Amanda Nogueira"/>
    <x v="1"/>
    <d v="2024-04-01T00:00:00"/>
    <x v="0"/>
    <n v="5"/>
    <x v="0"/>
    <s v="No"/>
    <x v="1"/>
    <s v="No"/>
    <n v="0"/>
    <n v="0"/>
    <x v="1"/>
  </r>
  <r>
    <n v="3267"/>
    <s v="Bruno Cavalheiro"/>
    <x v="0"/>
    <d v="2024-04-02T00:00:00"/>
    <x v="1"/>
    <n v="15"/>
    <x v="2"/>
    <s v="Yes"/>
    <x v="0"/>
    <s v="Yes"/>
    <n v="20"/>
    <n v="7"/>
    <x v="12"/>
  </r>
  <r>
    <n v="3268"/>
    <s v="Carla Dias"/>
    <x v="2"/>
    <d v="2024-04-03T00:00:00"/>
    <x v="0"/>
    <n v="10"/>
    <x v="1"/>
    <s v="No"/>
    <x v="1"/>
    <s v="Yes"/>
    <n v="20"/>
    <n v="10"/>
    <x v="2"/>
  </r>
  <r>
    <n v="3269"/>
    <s v="Diego Fontes"/>
    <x v="1"/>
    <d v="2024-04-04T00:00:00"/>
    <x v="1"/>
    <n v="5"/>
    <x v="2"/>
    <s v="No"/>
    <x v="1"/>
    <s v="No"/>
    <n v="0"/>
    <n v="1"/>
    <x v="4"/>
  </r>
  <r>
    <n v="3270"/>
    <s v="Eunice Lima"/>
    <x v="0"/>
    <d v="2024-04-05T00:00:00"/>
    <x v="0"/>
    <n v="15"/>
    <x v="0"/>
    <s v="Yes"/>
    <x v="0"/>
    <s v="Yes"/>
    <n v="20"/>
    <n v="15"/>
    <x v="14"/>
  </r>
  <r>
    <n v="3271"/>
    <s v="Fábio Martins"/>
    <x v="2"/>
    <d v="2024-04-06T00:00:00"/>
    <x v="1"/>
    <n v="10"/>
    <x v="0"/>
    <s v="No"/>
    <x v="1"/>
    <s v="Yes"/>
    <n v="20"/>
    <n v="5"/>
    <x v="13"/>
  </r>
  <r>
    <n v="3272"/>
    <s v="Gisele Araújo"/>
    <x v="1"/>
    <d v="2024-04-07T00:00:00"/>
    <x v="0"/>
    <n v="5"/>
    <x v="1"/>
    <s v="No"/>
    <x v="1"/>
    <s v="No"/>
    <n v="0"/>
    <n v="0"/>
    <x v="1"/>
  </r>
  <r>
    <n v="3273"/>
    <s v="Hélio Castro"/>
    <x v="0"/>
    <d v="2024-04-08T00:00:00"/>
    <x v="1"/>
    <n v="15"/>
    <x v="2"/>
    <s v="Yes"/>
    <x v="0"/>
    <s v="Yes"/>
    <n v="20"/>
    <n v="20"/>
    <x v="8"/>
  </r>
  <r>
    <n v="3274"/>
    <s v="Ingrid Menezes"/>
    <x v="2"/>
    <d v="2024-04-09T00:00:00"/>
    <x v="0"/>
    <n v="10"/>
    <x v="2"/>
    <s v="No"/>
    <x v="1"/>
    <s v="Yes"/>
    <n v="20"/>
    <n v="12"/>
    <x v="10"/>
  </r>
  <r>
    <n v="3275"/>
    <s v="Jorge Baptista"/>
    <x v="1"/>
    <d v="2024-04-10T00:00:00"/>
    <x v="1"/>
    <n v="5"/>
    <x v="0"/>
    <s v="No"/>
    <x v="1"/>
    <s v="No"/>
    <n v="0"/>
    <n v="2"/>
    <x v="11"/>
  </r>
  <r>
    <n v="3276"/>
    <s v="Kléber Oliveira"/>
    <x v="0"/>
    <d v="2024-04-11T00:00:00"/>
    <x v="0"/>
    <n v="15"/>
    <x v="1"/>
    <s v="Yes"/>
    <x v="0"/>
    <s v="Yes"/>
    <n v="20"/>
    <n v="5"/>
    <x v="0"/>
  </r>
  <r>
    <n v="3277"/>
    <s v="Luciana Freitas"/>
    <x v="2"/>
    <d v="2024-04-12T00:00:00"/>
    <x v="1"/>
    <n v="10"/>
    <x v="0"/>
    <s v="No"/>
    <x v="1"/>
    <s v="Yes"/>
    <n v="20"/>
    <n v="10"/>
    <x v="2"/>
  </r>
  <r>
    <n v="3278"/>
    <s v="Márcia Eller"/>
    <x v="1"/>
    <d v="2024-04-13T00:00:00"/>
    <x v="0"/>
    <n v="5"/>
    <x v="2"/>
    <s v="No"/>
    <x v="1"/>
    <s v="No"/>
    <n v="0"/>
    <n v="0"/>
    <x v="1"/>
  </r>
  <r>
    <n v="3279"/>
    <s v="Nilo Peçanha"/>
    <x v="0"/>
    <d v="2024-04-14T00:00:00"/>
    <x v="1"/>
    <n v="15"/>
    <x v="0"/>
    <s v="Yes"/>
    <x v="0"/>
    <s v="Yes"/>
    <n v="20"/>
    <n v="3"/>
    <x v="3"/>
  </r>
  <r>
    <n v="3280"/>
    <s v="Oscar Neves"/>
    <x v="2"/>
    <d v="2024-04-15T00:00:00"/>
    <x v="0"/>
    <n v="10"/>
    <x v="1"/>
    <s v="No"/>
    <x v="1"/>
    <s v="Yes"/>
    <n v="20"/>
    <n v="15"/>
    <x v="7"/>
  </r>
  <r>
    <n v="3281"/>
    <s v="Patrícia Soares"/>
    <x v="1"/>
    <d v="2024-04-16T00:00:00"/>
    <x v="1"/>
    <n v="5"/>
    <x v="0"/>
    <s v="No"/>
    <x v="1"/>
    <s v="No"/>
    <n v="0"/>
    <n v="1"/>
    <x v="4"/>
  </r>
  <r>
    <n v="3282"/>
    <s v="Quirino Gonçalves"/>
    <x v="0"/>
    <d v="2024-04-17T00:00:00"/>
    <x v="0"/>
    <n v="15"/>
    <x v="2"/>
    <s v="Yes"/>
    <x v="0"/>
    <s v="Yes"/>
    <n v="20"/>
    <n v="7"/>
    <x v="12"/>
  </r>
  <r>
    <n v="3283"/>
    <s v="Raul Machado"/>
    <x v="2"/>
    <d v="2024-04-18T00:00:00"/>
    <x v="1"/>
    <n v="10"/>
    <x v="0"/>
    <s v="No"/>
    <x v="1"/>
    <s v="Yes"/>
    <n v="20"/>
    <n v="10"/>
    <x v="2"/>
  </r>
  <r>
    <n v="3284"/>
    <s v="Sônia Lobo"/>
    <x v="1"/>
    <d v="2024-04-19T00:00:00"/>
    <x v="0"/>
    <n v="5"/>
    <x v="1"/>
    <s v="No"/>
    <x v="1"/>
    <s v="No"/>
    <n v="0"/>
    <n v="0"/>
    <x v="1"/>
  </r>
  <r>
    <n v="3285"/>
    <s v="Tiago Ramos"/>
    <x v="0"/>
    <d v="2024-04-20T00:00:00"/>
    <x v="1"/>
    <n v="15"/>
    <x v="0"/>
    <s v="Yes"/>
    <x v="0"/>
    <s v="Yes"/>
    <n v="20"/>
    <n v="20"/>
    <x v="8"/>
  </r>
  <r>
    <n v="3286"/>
    <s v="Ugo Pires"/>
    <x v="2"/>
    <d v="2024-04-21T00:00:00"/>
    <x v="0"/>
    <n v="10"/>
    <x v="2"/>
    <s v="No"/>
    <x v="1"/>
    <s v="Yes"/>
    <n v="20"/>
    <n v="15"/>
    <x v="7"/>
  </r>
  <r>
    <n v="3287"/>
    <s v="Valéria Nobre"/>
    <x v="1"/>
    <d v="2024-04-22T00:00:00"/>
    <x v="1"/>
    <n v="5"/>
    <x v="0"/>
    <s v="No"/>
    <x v="1"/>
    <s v="No"/>
    <n v="0"/>
    <n v="1"/>
    <x v="4"/>
  </r>
  <r>
    <n v="3288"/>
    <s v="William Siqueira"/>
    <x v="0"/>
    <d v="2024-04-23T00:00:00"/>
    <x v="0"/>
    <n v="15"/>
    <x v="1"/>
    <s v="Yes"/>
    <x v="0"/>
    <s v="Yes"/>
    <n v="20"/>
    <n v="3"/>
    <x v="3"/>
  </r>
  <r>
    <n v="3289"/>
    <s v="Xuxa Meneghel"/>
    <x v="2"/>
    <d v="2024-04-24T00:00:00"/>
    <x v="1"/>
    <n v="10"/>
    <x v="0"/>
    <s v="No"/>
    <x v="1"/>
    <s v="Yes"/>
    <n v="20"/>
    <n v="10"/>
    <x v="2"/>
  </r>
  <r>
    <n v="3290"/>
    <s v="Yara Figueiredo"/>
    <x v="1"/>
    <d v="2024-04-25T00:00:00"/>
    <x v="0"/>
    <n v="5"/>
    <x v="2"/>
    <s v="No"/>
    <x v="1"/>
    <s v="No"/>
    <n v="0"/>
    <n v="0"/>
    <x v="1"/>
  </r>
  <r>
    <n v="3291"/>
    <s v="Zacarias Alves"/>
    <x v="0"/>
    <d v="2024-04-26T00:00:00"/>
    <x v="1"/>
    <n v="15"/>
    <x v="0"/>
    <s v="Yes"/>
    <x v="0"/>
    <s v="Yes"/>
    <n v="20"/>
    <n v="5"/>
    <x v="0"/>
  </r>
  <r>
    <n v="3292"/>
    <s v="Amanda Bynes"/>
    <x v="2"/>
    <d v="2024-04-27T00:00:00"/>
    <x v="0"/>
    <n v="10"/>
    <x v="1"/>
    <s v="No"/>
    <x v="1"/>
    <s v="Yes"/>
    <n v="20"/>
    <n v="15"/>
    <x v="7"/>
  </r>
  <r>
    <n v="3293"/>
    <s v="Bruno Mars"/>
    <x v="1"/>
    <d v="2024-04-28T00:00:00"/>
    <x v="1"/>
    <n v="5"/>
    <x v="0"/>
    <s v="No"/>
    <x v="1"/>
    <s v="No"/>
    <n v="0"/>
    <n v="1"/>
    <x v="4"/>
  </r>
  <r>
    <n v="3294"/>
    <s v="Carla Bruni"/>
    <x v="0"/>
    <d v="2024-04-29T00:00:00"/>
    <x v="0"/>
    <n v="15"/>
    <x v="2"/>
    <s v="Yes"/>
    <x v="0"/>
    <s v="Yes"/>
    <n v="20"/>
    <n v="20"/>
    <x v="8"/>
  </r>
  <r>
    <n v="3295"/>
    <s v="Diego Maradona"/>
    <x v="2"/>
    <d v="2024-04-30T00:00:00"/>
    <x v="1"/>
    <n v="10"/>
    <x v="0"/>
    <s v="No"/>
    <x v="1"/>
    <s v="Yes"/>
    <n v="20"/>
    <n v="5"/>
    <x v="13"/>
  </r>
  <r>
    <n v="3296"/>
    <s v="Estela Marques"/>
    <x v="1"/>
    <d v="2024-05-01T00:00:00"/>
    <x v="1"/>
    <n v="5"/>
    <x v="0"/>
    <s v="No"/>
    <x v="1"/>
    <s v="No"/>
    <n v="0"/>
    <n v="0"/>
    <x v="1"/>
  </r>
  <r>
    <n v="3297"/>
    <s v="Fábio Nobre"/>
    <x v="0"/>
    <d v="2024-05-02T00:00:00"/>
    <x v="0"/>
    <n v="15"/>
    <x v="2"/>
    <s v="Yes"/>
    <x v="0"/>
    <s v="Yes"/>
    <n v="20"/>
    <n v="7"/>
    <x v="12"/>
  </r>
  <r>
    <n v="3298"/>
    <s v="Gabriel Oliveira"/>
    <x v="2"/>
    <d v="2024-05-03T00:00:00"/>
    <x v="1"/>
    <n v="10"/>
    <x v="1"/>
    <s v="No"/>
    <x v="1"/>
    <s v="Yes"/>
    <n v="20"/>
    <n v="10"/>
    <x v="2"/>
  </r>
  <r>
    <n v="3299"/>
    <s v="Helena Santos"/>
    <x v="1"/>
    <d v="2024-05-04T00:00:00"/>
    <x v="0"/>
    <n v="5"/>
    <x v="2"/>
    <s v="No"/>
    <x v="1"/>
    <s v="No"/>
    <n v="0"/>
    <n v="1"/>
    <x v="4"/>
  </r>
  <r>
    <n v="3300"/>
    <s v="Ivan Carvalho"/>
    <x v="0"/>
    <d v="2024-05-05T00:00:00"/>
    <x v="1"/>
    <n v="15"/>
    <x v="0"/>
    <s v="Yes"/>
    <x v="0"/>
    <s v="Yes"/>
    <n v="20"/>
    <n v="15"/>
    <x v="14"/>
  </r>
  <r>
    <n v="3301"/>
    <s v="Júlia Ferreira"/>
    <x v="2"/>
    <d v="2024-05-06T00:00:00"/>
    <x v="0"/>
    <n v="10"/>
    <x v="0"/>
    <s v="No"/>
    <x v="1"/>
    <s v="Yes"/>
    <n v="20"/>
    <n v="5"/>
    <x v="13"/>
  </r>
  <r>
    <n v="3302"/>
    <s v="Karla Alves"/>
    <x v="1"/>
    <d v="2024-05-07T00:00:00"/>
    <x v="1"/>
    <n v="5"/>
    <x v="1"/>
    <s v="No"/>
    <x v="1"/>
    <s v="No"/>
    <n v="0"/>
    <n v="0"/>
    <x v="1"/>
  </r>
  <r>
    <n v="3303"/>
    <s v="Lucas Mendes"/>
    <x v="0"/>
    <d v="2024-05-08T00:00:00"/>
    <x v="0"/>
    <n v="15"/>
    <x v="2"/>
    <s v="Yes"/>
    <x v="0"/>
    <s v="Yes"/>
    <n v="20"/>
    <n v="20"/>
    <x v="8"/>
  </r>
  <r>
    <n v="3304"/>
    <s v="Mônica Gomes"/>
    <x v="2"/>
    <d v="2024-05-09T00:00:00"/>
    <x v="1"/>
    <n v="10"/>
    <x v="2"/>
    <s v="No"/>
    <x v="1"/>
    <s v="Yes"/>
    <n v="20"/>
    <n v="12"/>
    <x v="10"/>
  </r>
  <r>
    <n v="3305"/>
    <s v="Norberto Queiroz"/>
    <x v="1"/>
    <d v="2024-05-10T00:00:00"/>
    <x v="0"/>
    <n v="5"/>
    <x v="0"/>
    <s v="No"/>
    <x v="1"/>
    <s v="No"/>
    <n v="0"/>
    <n v="2"/>
    <x v="11"/>
  </r>
  <r>
    <n v="3306"/>
    <s v="Otávio Barros"/>
    <x v="0"/>
    <d v="2024-05-11T00:00:00"/>
    <x v="1"/>
    <n v="15"/>
    <x v="1"/>
    <s v="Yes"/>
    <x v="0"/>
    <s v="Yes"/>
    <n v="20"/>
    <n v="5"/>
    <x v="0"/>
  </r>
  <r>
    <n v="3307"/>
    <s v="Paula Vieira"/>
    <x v="2"/>
    <d v="2024-05-12T00:00:00"/>
    <x v="0"/>
    <n v="10"/>
    <x v="0"/>
    <s v="No"/>
    <x v="1"/>
    <s v="Yes"/>
    <n v="20"/>
    <n v="10"/>
    <x v="2"/>
  </r>
  <r>
    <n v="3308"/>
    <s v="Quentin Ramos"/>
    <x v="1"/>
    <d v="2024-05-13T00:00:00"/>
    <x v="1"/>
    <n v="5"/>
    <x v="2"/>
    <s v="No"/>
    <x v="1"/>
    <s v="No"/>
    <n v="0"/>
    <n v="0"/>
    <x v="1"/>
  </r>
  <r>
    <n v="3309"/>
    <s v="Raquel Novaes"/>
    <x v="0"/>
    <d v="2024-05-14T00:00:00"/>
    <x v="0"/>
    <n v="15"/>
    <x v="0"/>
    <s v="Yes"/>
    <x v="0"/>
    <s v="Yes"/>
    <n v="20"/>
    <n v="3"/>
    <x v="3"/>
  </r>
  <r>
    <n v="3310"/>
    <s v="Samantha Lopes"/>
    <x v="2"/>
    <d v="2024-05-15T00:00:00"/>
    <x v="1"/>
    <n v="10"/>
    <x v="1"/>
    <s v="No"/>
    <x v="1"/>
    <s v="Yes"/>
    <n v="20"/>
    <n v="15"/>
    <x v="7"/>
  </r>
  <r>
    <n v="3311"/>
    <s v="Tiago Martins"/>
    <x v="1"/>
    <d v="2024-05-16T00:00:00"/>
    <x v="0"/>
    <n v="5"/>
    <x v="0"/>
    <s v="No"/>
    <x v="1"/>
    <s v="No"/>
    <n v="0"/>
    <n v="1"/>
    <x v="4"/>
  </r>
  <r>
    <n v="3312"/>
    <s v="Ulysses Guimarães"/>
    <x v="0"/>
    <d v="2024-05-17T00:00:00"/>
    <x v="1"/>
    <n v="15"/>
    <x v="2"/>
    <s v="Yes"/>
    <x v="0"/>
    <s v="Yes"/>
    <n v="20"/>
    <n v="7"/>
    <x v="12"/>
  </r>
  <r>
    <n v="3313"/>
    <s v="Vanessa Silva"/>
    <x v="2"/>
    <d v="2024-05-18T00:00:00"/>
    <x v="0"/>
    <n v="10"/>
    <x v="0"/>
    <s v="No"/>
    <x v="1"/>
    <s v="Yes"/>
    <n v="20"/>
    <n v="10"/>
    <x v="2"/>
  </r>
  <r>
    <n v="3314"/>
    <s v="William Carneiro"/>
    <x v="1"/>
    <d v="2024-05-19T00:00:00"/>
    <x v="1"/>
    <n v="5"/>
    <x v="1"/>
    <s v="No"/>
    <x v="1"/>
    <s v="No"/>
    <n v="0"/>
    <n v="0"/>
    <x v="1"/>
  </r>
  <r>
    <n v="3315"/>
    <s v="Ximena Rocha"/>
    <x v="0"/>
    <d v="2024-05-20T00:00:00"/>
    <x v="0"/>
    <n v="15"/>
    <x v="0"/>
    <s v="Yes"/>
    <x v="0"/>
    <s v="Yes"/>
    <n v="20"/>
    <n v="20"/>
    <x v="8"/>
  </r>
  <r>
    <n v="3316"/>
    <s v="Yasmin Figueiredo"/>
    <x v="2"/>
    <d v="2024-05-21T00:00:00"/>
    <x v="1"/>
    <n v="10"/>
    <x v="2"/>
    <s v="No"/>
    <x v="1"/>
    <s v="Yes"/>
    <n v="20"/>
    <n v="15"/>
    <x v="7"/>
  </r>
  <r>
    <n v="3317"/>
    <s v="Zara Cunha"/>
    <x v="1"/>
    <d v="2024-05-22T00:00:00"/>
    <x v="0"/>
    <n v="5"/>
    <x v="0"/>
    <s v="No"/>
    <x v="1"/>
    <s v="No"/>
    <n v="0"/>
    <n v="1"/>
    <x v="4"/>
  </r>
  <r>
    <n v="3318"/>
    <s v="Alan Teixeira"/>
    <x v="0"/>
    <d v="2024-05-23T00:00:00"/>
    <x v="1"/>
    <n v="15"/>
    <x v="1"/>
    <s v="Yes"/>
    <x v="0"/>
    <s v="Yes"/>
    <n v="20"/>
    <n v="3"/>
    <x v="3"/>
  </r>
  <r>
    <n v="3319"/>
    <s v="Bárbara Oliveira"/>
    <x v="2"/>
    <d v="2024-05-24T00:00:00"/>
    <x v="0"/>
    <n v="10"/>
    <x v="0"/>
    <s v="No"/>
    <x v="1"/>
    <s v="Yes"/>
    <n v="20"/>
    <n v="10"/>
    <x v="2"/>
  </r>
  <r>
    <n v="3320"/>
    <s v="Carlos Junqueira"/>
    <x v="1"/>
    <d v="2024-05-25T00:00:00"/>
    <x v="1"/>
    <n v="5"/>
    <x v="2"/>
    <s v="No"/>
    <x v="1"/>
    <s v="No"/>
    <n v="0"/>
    <n v="0"/>
    <x v="1"/>
  </r>
  <r>
    <n v="3321"/>
    <s v="Daniela Moura"/>
    <x v="0"/>
    <d v="2024-05-26T00:00:00"/>
    <x v="0"/>
    <n v="15"/>
    <x v="0"/>
    <s v="Yes"/>
    <x v="0"/>
    <s v="Yes"/>
    <n v="20"/>
    <n v="5"/>
    <x v="0"/>
  </r>
  <r>
    <n v="3322"/>
    <s v="Eduardo Lima"/>
    <x v="2"/>
    <d v="2024-05-27T00:00:00"/>
    <x v="1"/>
    <n v="10"/>
    <x v="1"/>
    <s v="No"/>
    <x v="1"/>
    <s v="Yes"/>
    <n v="20"/>
    <n v="15"/>
    <x v="7"/>
  </r>
  <r>
    <n v="3323"/>
    <s v="Fabiana Araújo"/>
    <x v="1"/>
    <d v="2024-05-28T00:00:00"/>
    <x v="0"/>
    <n v="5"/>
    <x v="0"/>
    <s v="No"/>
    <x v="1"/>
    <s v="No"/>
    <n v="0"/>
    <n v="1"/>
    <x v="4"/>
  </r>
  <r>
    <n v="3324"/>
    <s v="Geraldo Ribeiro"/>
    <x v="0"/>
    <d v="2024-05-29T00:00:00"/>
    <x v="1"/>
    <n v="15"/>
    <x v="2"/>
    <s v="Yes"/>
    <x v="0"/>
    <s v="Yes"/>
    <n v="20"/>
    <n v="20"/>
    <x v="8"/>
  </r>
  <r>
    <n v="3325"/>
    <s v="Héctor Vargas"/>
    <x v="2"/>
    <d v="2024-05-30T00:00:00"/>
    <x v="0"/>
    <n v="10"/>
    <x v="2"/>
    <s v="No"/>
    <x v="1"/>
    <s v="Yes"/>
    <n v="20"/>
    <n v="15"/>
    <x v="7"/>
  </r>
  <r>
    <n v="3326"/>
    <s v="Isabela Fonseca"/>
    <x v="1"/>
    <d v="2024-05-31T00:00:00"/>
    <x v="1"/>
    <n v="5"/>
    <x v="1"/>
    <s v="No"/>
    <x v="1"/>
    <s v="No"/>
    <n v="0"/>
    <n v="0"/>
    <x v="1"/>
  </r>
  <r>
    <n v="3327"/>
    <s v="João Pedro Almeida"/>
    <x v="0"/>
    <d v="2024-06-01T00:00:00"/>
    <x v="0"/>
    <n v="15"/>
    <x v="0"/>
    <s v="Yes"/>
    <x v="0"/>
    <s v="Yes"/>
    <n v="20"/>
    <n v="7"/>
    <x v="12"/>
  </r>
  <r>
    <n v="3328"/>
    <s v="Klara Costa"/>
    <x v="2"/>
    <d v="2024-06-02T00:00:00"/>
    <x v="1"/>
    <n v="10"/>
    <x v="1"/>
    <s v="No"/>
    <x v="1"/>
    <s v="Yes"/>
    <n v="20"/>
    <n v="10"/>
    <x v="2"/>
  </r>
  <r>
    <n v="3329"/>
    <s v="Luciana Mendes"/>
    <x v="1"/>
    <d v="2024-06-03T00:00:00"/>
    <x v="0"/>
    <n v="5"/>
    <x v="2"/>
    <s v="No"/>
    <x v="1"/>
    <s v="No"/>
    <n v="0"/>
    <n v="1"/>
    <x v="4"/>
  </r>
  <r>
    <n v="3330"/>
    <s v="Marcelo Gouveia"/>
    <x v="0"/>
    <d v="2024-06-04T00:00:00"/>
    <x v="1"/>
    <n v="15"/>
    <x v="0"/>
    <s v="Yes"/>
    <x v="0"/>
    <s v="Yes"/>
    <n v="20"/>
    <n v="15"/>
    <x v="14"/>
  </r>
  <r>
    <n v="3331"/>
    <s v="Nívea Borges"/>
    <x v="2"/>
    <d v="2024-06-05T00:00:00"/>
    <x v="0"/>
    <n v="10"/>
    <x v="0"/>
    <s v="No"/>
    <x v="1"/>
    <s v="Yes"/>
    <n v="20"/>
    <n v="5"/>
    <x v="13"/>
  </r>
  <r>
    <n v="3332"/>
    <s v="Oscar Nogueira"/>
    <x v="1"/>
    <d v="2024-06-06T00:00:00"/>
    <x v="1"/>
    <n v="5"/>
    <x v="1"/>
    <s v="No"/>
    <x v="1"/>
    <s v="No"/>
    <n v="0"/>
    <n v="0"/>
    <x v="1"/>
  </r>
  <r>
    <n v="3333"/>
    <s v="Patrícia Alves"/>
    <x v="0"/>
    <d v="2024-06-07T00:00:00"/>
    <x v="0"/>
    <n v="15"/>
    <x v="2"/>
    <s v="Yes"/>
    <x v="0"/>
    <s v="Yes"/>
    <n v="20"/>
    <n v="20"/>
    <x v="8"/>
  </r>
  <r>
    <n v="3334"/>
    <s v="Rafaela Silva"/>
    <x v="2"/>
    <d v="2024-06-08T00:00:00"/>
    <x v="1"/>
    <n v="10"/>
    <x v="2"/>
    <s v="No"/>
    <x v="1"/>
    <s v="Yes"/>
    <n v="20"/>
    <n v="12"/>
    <x v="10"/>
  </r>
  <r>
    <n v="3335"/>
    <s v="Samantha Moraes"/>
    <x v="1"/>
    <d v="2024-06-09T00:00:00"/>
    <x v="0"/>
    <n v="5"/>
    <x v="0"/>
    <s v="No"/>
    <x v="1"/>
    <s v="No"/>
    <n v="0"/>
    <n v="2"/>
    <x v="11"/>
  </r>
  <r>
    <n v="3336"/>
    <s v="Tatiana Rocha"/>
    <x v="1"/>
    <d v="2024-06-10T00:00:00"/>
    <x v="0"/>
    <n v="5"/>
    <x v="0"/>
    <s v="No"/>
    <x v="1"/>
    <s v="No"/>
    <n v="0"/>
    <n v="0"/>
    <x v="1"/>
  </r>
  <r>
    <n v="3337"/>
    <s v="Ulisses Tavares"/>
    <x v="0"/>
    <d v="2024-06-11T00:00:00"/>
    <x v="1"/>
    <n v="15"/>
    <x v="2"/>
    <s v="Yes"/>
    <x v="0"/>
    <s v="Yes"/>
    <n v="20"/>
    <n v="7"/>
    <x v="12"/>
  </r>
  <r>
    <n v="3338"/>
    <s v="Víctor Lemos"/>
    <x v="2"/>
    <d v="2024-06-12T00:00:00"/>
    <x v="0"/>
    <n v="10"/>
    <x v="1"/>
    <s v="No"/>
    <x v="1"/>
    <s v="Yes"/>
    <n v="20"/>
    <n v="10"/>
    <x v="2"/>
  </r>
  <r>
    <n v="3339"/>
    <s v="Wilma Barros"/>
    <x v="1"/>
    <d v="2024-06-13T00:00:00"/>
    <x v="1"/>
    <n v="5"/>
    <x v="2"/>
    <s v="No"/>
    <x v="1"/>
    <s v="No"/>
    <n v="0"/>
    <n v="1"/>
    <x v="4"/>
  </r>
  <r>
    <n v="3340"/>
    <s v="Xavier Nascimento"/>
    <x v="0"/>
    <d v="2024-06-14T00:00:00"/>
    <x v="0"/>
    <n v="15"/>
    <x v="0"/>
    <s v="Yes"/>
    <x v="0"/>
    <s v="Yes"/>
    <n v="20"/>
    <n v="15"/>
    <x v="14"/>
  </r>
  <r>
    <n v="3341"/>
    <s v="Yago Pereira"/>
    <x v="2"/>
    <d v="2024-06-15T00:00:00"/>
    <x v="1"/>
    <n v="10"/>
    <x v="0"/>
    <s v="No"/>
    <x v="1"/>
    <s v="Yes"/>
    <n v="20"/>
    <n v="5"/>
    <x v="13"/>
  </r>
  <r>
    <n v="3342"/>
    <s v="Zilda Ferreira"/>
    <x v="1"/>
    <d v="2024-06-16T00:00:00"/>
    <x v="0"/>
    <n v="5"/>
    <x v="1"/>
    <s v="No"/>
    <x v="1"/>
    <s v="No"/>
    <n v="0"/>
    <n v="0"/>
    <x v="1"/>
  </r>
  <r>
    <n v="3343"/>
    <s v="Amanda Lopes"/>
    <x v="0"/>
    <d v="2024-06-17T00:00:00"/>
    <x v="1"/>
    <n v="15"/>
    <x v="2"/>
    <s v="Yes"/>
    <x v="0"/>
    <s v="Yes"/>
    <n v="20"/>
    <n v="20"/>
    <x v="8"/>
  </r>
  <r>
    <n v="3344"/>
    <s v="Bruno Miranda"/>
    <x v="2"/>
    <d v="2024-06-18T00:00:00"/>
    <x v="0"/>
    <n v="10"/>
    <x v="2"/>
    <s v="No"/>
    <x v="1"/>
    <s v="Yes"/>
    <n v="20"/>
    <n v="12"/>
    <x v="10"/>
  </r>
  <r>
    <n v="3345"/>
    <s v="Célia Torres"/>
    <x v="1"/>
    <d v="2024-06-19T00:00:00"/>
    <x v="1"/>
    <n v="5"/>
    <x v="0"/>
    <s v="No"/>
    <x v="1"/>
    <s v="No"/>
    <n v="0"/>
    <n v="2"/>
    <x v="11"/>
  </r>
  <r>
    <n v="3346"/>
    <s v="Diogo Souza"/>
    <x v="0"/>
    <d v="2024-06-20T00:00:00"/>
    <x v="0"/>
    <n v="15"/>
    <x v="1"/>
    <s v="Yes"/>
    <x v="0"/>
    <s v="Yes"/>
    <n v="20"/>
    <n v="5"/>
    <x v="0"/>
  </r>
  <r>
    <n v="3347"/>
    <s v="Elisa Castro"/>
    <x v="2"/>
    <d v="2024-06-21T00:00:00"/>
    <x v="1"/>
    <n v="10"/>
    <x v="0"/>
    <s v="No"/>
    <x v="1"/>
    <s v="Yes"/>
    <n v="20"/>
    <n v="10"/>
    <x v="2"/>
  </r>
  <r>
    <n v="3348"/>
    <s v="Fátima Lima"/>
    <x v="1"/>
    <d v="2024-06-22T00:00:00"/>
    <x v="0"/>
    <n v="5"/>
    <x v="2"/>
    <s v="No"/>
    <x v="1"/>
    <s v="No"/>
    <n v="0"/>
    <n v="0"/>
    <x v="1"/>
  </r>
  <r>
    <n v="3349"/>
    <s v="Geraldo Ribeiro"/>
    <x v="0"/>
    <d v="2024-06-23T00:00:00"/>
    <x v="1"/>
    <n v="15"/>
    <x v="0"/>
    <s v="Yes"/>
    <x v="0"/>
    <s v="Yes"/>
    <n v="20"/>
    <n v="3"/>
    <x v="3"/>
  </r>
  <r>
    <n v="3350"/>
    <s v="Hélio Martins"/>
    <x v="2"/>
    <d v="2024-06-24T00:00:00"/>
    <x v="0"/>
    <n v="10"/>
    <x v="1"/>
    <s v="No"/>
    <x v="1"/>
    <s v="Yes"/>
    <n v="20"/>
    <n v="15"/>
    <x v="7"/>
  </r>
  <r>
    <n v="3351"/>
    <s v="Íris Santos"/>
    <x v="1"/>
    <d v="2024-06-25T00:00:00"/>
    <x v="1"/>
    <n v="5"/>
    <x v="0"/>
    <s v="No"/>
    <x v="1"/>
    <s v="No"/>
    <n v="0"/>
    <n v="1"/>
    <x v="4"/>
  </r>
  <r>
    <n v="3352"/>
    <s v="João Marcelo"/>
    <x v="0"/>
    <d v="2024-06-26T00:00:00"/>
    <x v="0"/>
    <n v="15"/>
    <x v="2"/>
    <s v="Yes"/>
    <x v="0"/>
    <s v="Yes"/>
    <n v="20"/>
    <n v="7"/>
    <x v="12"/>
  </r>
  <r>
    <n v="3353"/>
    <s v="Larissa Gomes"/>
    <x v="2"/>
    <d v="2024-06-27T00:00:00"/>
    <x v="1"/>
    <n v="10"/>
    <x v="0"/>
    <s v="No"/>
    <x v="1"/>
    <s v="Yes"/>
    <n v="20"/>
    <n v="10"/>
    <x v="2"/>
  </r>
  <r>
    <n v="3354"/>
    <s v="Márcio Silva"/>
    <x v="1"/>
    <d v="2024-06-28T00:00:00"/>
    <x v="0"/>
    <n v="5"/>
    <x v="1"/>
    <s v="No"/>
    <x v="1"/>
    <s v="No"/>
    <n v="0"/>
    <n v="0"/>
    <x v="1"/>
  </r>
  <r>
    <n v="3355"/>
    <s v="Nadia Costa"/>
    <x v="0"/>
    <d v="2024-06-29T00:00:00"/>
    <x v="1"/>
    <n v="15"/>
    <x v="0"/>
    <s v="Yes"/>
    <x v="0"/>
    <s v="Yes"/>
    <n v="20"/>
    <n v="20"/>
    <x v="8"/>
  </r>
  <r>
    <n v="3356"/>
    <s v="Oscar Almeida"/>
    <x v="2"/>
    <d v="2024-06-30T00:00:00"/>
    <x v="0"/>
    <n v="10"/>
    <x v="2"/>
    <s v="No"/>
    <x v="1"/>
    <s v="Yes"/>
    <n v="20"/>
    <n v="15"/>
    <x v="7"/>
  </r>
  <r>
    <n v="3357"/>
    <s v="Patricia Soares"/>
    <x v="1"/>
    <d v="2024-07-01T00:00:00"/>
    <x v="1"/>
    <n v="5"/>
    <x v="0"/>
    <s v="No"/>
    <x v="1"/>
    <s v="No"/>
    <n v="0"/>
    <n v="1"/>
    <x v="4"/>
  </r>
  <r>
    <n v="3358"/>
    <s v="Quênia Barros"/>
    <x v="0"/>
    <d v="2024-07-02T00:00:00"/>
    <x v="0"/>
    <n v="15"/>
    <x v="1"/>
    <s v="Yes"/>
    <x v="0"/>
    <s v="Yes"/>
    <n v="20"/>
    <n v="3"/>
    <x v="3"/>
  </r>
  <r>
    <n v="3359"/>
    <s v="Rafael Torres"/>
    <x v="2"/>
    <d v="2024-07-03T00:00:00"/>
    <x v="1"/>
    <n v="10"/>
    <x v="0"/>
    <s v="No"/>
    <x v="1"/>
    <s v="Yes"/>
    <n v="20"/>
    <n v="10"/>
    <x v="2"/>
  </r>
  <r>
    <n v="3360"/>
    <s v="Silvia Nascimento"/>
    <x v="1"/>
    <d v="2024-07-04T00:00:00"/>
    <x v="0"/>
    <n v="5"/>
    <x v="2"/>
    <s v="No"/>
    <x v="1"/>
    <s v="No"/>
    <n v="0"/>
    <n v="0"/>
    <x v="1"/>
  </r>
  <r>
    <n v="3361"/>
    <s v="Tiago Mendes"/>
    <x v="0"/>
    <d v="2024-07-05T00:00:00"/>
    <x v="1"/>
    <n v="15"/>
    <x v="0"/>
    <s v="Yes"/>
    <x v="0"/>
    <s v="Yes"/>
    <n v="20"/>
    <n v="15"/>
    <x v="14"/>
  </r>
  <r>
    <n v="3362"/>
    <s v="Ursula Silva"/>
    <x v="2"/>
    <d v="2024-07-06T00:00:00"/>
    <x v="0"/>
    <n v="10"/>
    <x v="1"/>
    <s v="No"/>
    <x v="1"/>
    <s v="Yes"/>
    <n v="20"/>
    <n v="15"/>
    <x v="7"/>
  </r>
  <r>
    <n v="3363"/>
    <s v="Vanessa Moraes"/>
    <x v="1"/>
    <d v="2024-07-07T00:00:00"/>
    <x v="1"/>
    <n v="5"/>
    <x v="0"/>
    <s v="No"/>
    <x v="1"/>
    <s v="No"/>
    <n v="0"/>
    <n v="1"/>
    <x v="4"/>
  </r>
  <r>
    <n v="3364"/>
    <s v="Waldir Junior"/>
    <x v="0"/>
    <d v="2024-07-08T00:00:00"/>
    <x v="0"/>
    <n v="15"/>
    <x v="2"/>
    <s v="Yes"/>
    <x v="0"/>
    <s v="Yes"/>
    <n v="20"/>
    <n v="7"/>
    <x v="12"/>
  </r>
  <r>
    <n v="3365"/>
    <s v="Xavier Lopes"/>
    <x v="2"/>
    <d v="2024-07-09T00:00:00"/>
    <x v="1"/>
    <n v="10"/>
    <x v="0"/>
    <s v="No"/>
    <x v="1"/>
    <s v="Yes"/>
    <n v="20"/>
    <n v="10"/>
    <x v="2"/>
  </r>
  <r>
    <n v="3366"/>
    <s v="Yolanda Freitas"/>
    <x v="1"/>
    <d v="2024-07-10T00:00:00"/>
    <x v="0"/>
    <n v="5"/>
    <x v="0"/>
    <s v="No"/>
    <x v="1"/>
    <s v="No"/>
    <n v="0"/>
    <n v="0"/>
    <x v="1"/>
  </r>
  <r>
    <n v="3367"/>
    <s v="Zacarias Nunes"/>
    <x v="0"/>
    <d v="2024-07-11T00:00:00"/>
    <x v="1"/>
    <n v="15"/>
    <x v="2"/>
    <s v="Yes"/>
    <x v="0"/>
    <s v="Yes"/>
    <n v="20"/>
    <n v="7"/>
    <x v="12"/>
  </r>
  <r>
    <n v="3368"/>
    <s v="Ana Clara Barreto"/>
    <x v="2"/>
    <d v="2024-07-12T00:00:00"/>
    <x v="0"/>
    <n v="10"/>
    <x v="1"/>
    <s v="No"/>
    <x v="1"/>
    <s v="Yes"/>
    <n v="20"/>
    <n v="10"/>
    <x v="2"/>
  </r>
  <r>
    <n v="3369"/>
    <s v="Bruno Henrique"/>
    <x v="1"/>
    <d v="2024-07-13T00:00:00"/>
    <x v="1"/>
    <n v="5"/>
    <x v="2"/>
    <s v="No"/>
    <x v="1"/>
    <s v="No"/>
    <n v="0"/>
    <n v="1"/>
    <x v="4"/>
  </r>
  <r>
    <n v="3370"/>
    <s v="Carlos Eduardo"/>
    <x v="0"/>
    <d v="2024-07-14T00:00:00"/>
    <x v="0"/>
    <n v="15"/>
    <x v="0"/>
    <s v="Yes"/>
    <x v="0"/>
    <s v="Yes"/>
    <n v="20"/>
    <n v="15"/>
    <x v="14"/>
  </r>
  <r>
    <n v="3371"/>
    <s v="Débora Lima"/>
    <x v="2"/>
    <d v="2024-07-15T00:00:00"/>
    <x v="1"/>
    <n v="10"/>
    <x v="0"/>
    <s v="No"/>
    <x v="1"/>
    <s v="Yes"/>
    <n v="20"/>
    <n v="5"/>
    <x v="13"/>
  </r>
  <r>
    <n v="3372"/>
    <s v="Elisa Neves"/>
    <x v="1"/>
    <d v="2024-07-16T00:00:00"/>
    <x v="0"/>
    <n v="5"/>
    <x v="1"/>
    <s v="No"/>
    <x v="1"/>
    <s v="No"/>
    <n v="0"/>
    <n v="0"/>
    <x v="1"/>
  </r>
  <r>
    <n v="3373"/>
    <s v="Fabiano Gomes"/>
    <x v="0"/>
    <d v="2024-07-17T00:00:00"/>
    <x v="1"/>
    <n v="15"/>
    <x v="2"/>
    <s v="Yes"/>
    <x v="0"/>
    <s v="Yes"/>
    <n v="20"/>
    <n v="20"/>
    <x v="8"/>
  </r>
  <r>
    <n v="3374"/>
    <s v="Gisele Oliveira"/>
    <x v="2"/>
    <d v="2024-07-18T00:00:00"/>
    <x v="0"/>
    <n v="10"/>
    <x v="2"/>
    <s v="No"/>
    <x v="1"/>
    <s v="Yes"/>
    <n v="20"/>
    <n v="12"/>
    <x v="10"/>
  </r>
  <r>
    <n v="3375"/>
    <s v="Héctor Silva"/>
    <x v="1"/>
    <d v="2024-07-19T00:00:00"/>
    <x v="1"/>
    <n v="5"/>
    <x v="0"/>
    <s v="No"/>
    <x v="1"/>
    <s v="No"/>
    <n v="0"/>
    <n v="2"/>
    <x v="11"/>
  </r>
  <r>
    <n v="3376"/>
    <s v="Igor Martins"/>
    <x v="0"/>
    <d v="2024-07-20T00:00:00"/>
    <x v="0"/>
    <n v="15"/>
    <x v="1"/>
    <s v="Yes"/>
    <x v="0"/>
    <s v="Yes"/>
    <n v="20"/>
    <n v="5"/>
    <x v="0"/>
  </r>
  <r>
    <n v="3377"/>
    <s v="Joana Figueiredo"/>
    <x v="2"/>
    <d v="2024-07-21T00:00:00"/>
    <x v="1"/>
    <n v="10"/>
    <x v="0"/>
    <s v="No"/>
    <x v="1"/>
    <s v="Yes"/>
    <n v="20"/>
    <n v="10"/>
    <x v="2"/>
  </r>
  <r>
    <n v="3378"/>
    <s v="Kleber Machado"/>
    <x v="1"/>
    <d v="2024-07-22T00:00:00"/>
    <x v="0"/>
    <n v="5"/>
    <x v="2"/>
    <s v="No"/>
    <x v="1"/>
    <s v="No"/>
    <n v="0"/>
    <n v="0"/>
    <x v="1"/>
  </r>
  <r>
    <n v="3379"/>
    <s v="Luciana Santos"/>
    <x v="0"/>
    <d v="2024-07-23T00:00:00"/>
    <x v="1"/>
    <n v="15"/>
    <x v="0"/>
    <s v="Yes"/>
    <x v="0"/>
    <s v="Yes"/>
    <n v="20"/>
    <n v="3"/>
    <x v="3"/>
  </r>
  <r>
    <n v="3380"/>
    <s v="Marcos Teixeira"/>
    <x v="2"/>
    <d v="2024-07-24T00:00:00"/>
    <x v="0"/>
    <n v="10"/>
    <x v="1"/>
    <s v="No"/>
    <x v="1"/>
    <s v="Yes"/>
    <n v="20"/>
    <n v="15"/>
    <x v="7"/>
  </r>
  <r>
    <n v="3381"/>
    <s v="Natalia Costa"/>
    <x v="1"/>
    <d v="2024-07-25T00:00:00"/>
    <x v="1"/>
    <n v="5"/>
    <x v="0"/>
    <s v="No"/>
    <x v="1"/>
    <s v="No"/>
    <n v="0"/>
    <n v="1"/>
    <x v="4"/>
  </r>
  <r>
    <n v="3382"/>
    <s v="Oscar Ribeiro"/>
    <x v="0"/>
    <d v="2024-07-26T00:00:00"/>
    <x v="0"/>
    <n v="15"/>
    <x v="2"/>
    <s v="Yes"/>
    <x v="0"/>
    <s v="Yes"/>
    <n v="20"/>
    <n v="7"/>
    <x v="12"/>
  </r>
  <r>
    <n v="3383"/>
    <s v="Patricia Almeida"/>
    <x v="2"/>
    <d v="2024-07-27T00:00:00"/>
    <x v="1"/>
    <n v="10"/>
    <x v="0"/>
    <s v="No"/>
    <x v="1"/>
    <s v="Yes"/>
    <n v="20"/>
    <n v="10"/>
    <x v="2"/>
  </r>
  <r>
    <n v="3384"/>
    <s v="Quirino Junior"/>
    <x v="1"/>
    <d v="2024-07-28T00:00:00"/>
    <x v="0"/>
    <n v="5"/>
    <x v="1"/>
    <s v="No"/>
    <x v="1"/>
    <s v="No"/>
    <n v="0"/>
    <n v="0"/>
    <x v="1"/>
  </r>
  <r>
    <n v="3385"/>
    <s v="Renata Machado"/>
    <x v="0"/>
    <d v="2024-07-29T00:00:00"/>
    <x v="1"/>
    <n v="15"/>
    <x v="0"/>
    <s v="Yes"/>
    <x v="0"/>
    <s v="Yes"/>
    <n v="20"/>
    <n v="20"/>
    <x v="8"/>
  </r>
  <r>
    <n v="3386"/>
    <s v="Sônia Alves"/>
    <x v="2"/>
    <d v="2024-07-30T00:00:00"/>
    <x v="0"/>
    <n v="10"/>
    <x v="2"/>
    <s v="No"/>
    <x v="1"/>
    <s v="Yes"/>
    <n v="20"/>
    <n v="15"/>
    <x v="7"/>
  </r>
  <r>
    <n v="3387"/>
    <s v="Tiago Nunes"/>
    <x v="1"/>
    <d v="2024-07-31T00:00:00"/>
    <x v="1"/>
    <n v="5"/>
    <x v="0"/>
    <s v="No"/>
    <x v="1"/>
    <s v="No"/>
    <n v="0"/>
    <n v="1"/>
    <x v="4"/>
  </r>
  <r>
    <n v="3388"/>
    <s v="Ulysses Pereira"/>
    <x v="0"/>
    <d v="2024-08-01T00:00:00"/>
    <x v="0"/>
    <n v="15"/>
    <x v="1"/>
    <s v="Yes"/>
    <x v="0"/>
    <s v="Yes"/>
    <n v="20"/>
    <n v="3"/>
    <x v="3"/>
  </r>
  <r>
    <n v="3389"/>
    <s v="Vanessa Lima"/>
    <x v="2"/>
    <d v="2024-08-02T00:00:00"/>
    <x v="1"/>
    <n v="10"/>
    <x v="0"/>
    <s v="No"/>
    <x v="1"/>
    <s v="Yes"/>
    <n v="20"/>
    <n v="10"/>
    <x v="2"/>
  </r>
  <r>
    <n v="3390"/>
    <s v="Wagner Santos"/>
    <x v="1"/>
    <d v="2024-08-03T00:00:00"/>
    <x v="0"/>
    <n v="5"/>
    <x v="2"/>
    <s v="No"/>
    <x v="1"/>
    <s v="No"/>
    <n v="0"/>
    <n v="0"/>
    <x v="1"/>
  </r>
  <r>
    <n v="3391"/>
    <s v="Xuxa Meneghel"/>
    <x v="0"/>
    <d v="2024-08-04T00:00:00"/>
    <x v="1"/>
    <n v="15"/>
    <x v="0"/>
    <s v="Yes"/>
    <x v="0"/>
    <s v="Yes"/>
    <n v="20"/>
    <n v="15"/>
    <x v="14"/>
  </r>
  <r>
    <n v="3392"/>
    <s v="Yasmin Silva"/>
    <x v="2"/>
    <d v="2024-08-05T00:00:00"/>
    <x v="0"/>
    <n v="10"/>
    <x v="1"/>
    <s v="No"/>
    <x v="1"/>
    <s v="Yes"/>
    <n v="20"/>
    <n v="15"/>
    <x v="7"/>
  </r>
  <r>
    <n v="3393"/>
    <s v="Zacarias de Souza"/>
    <x v="1"/>
    <d v="2024-08-06T00:00:00"/>
    <x v="1"/>
    <n v="5"/>
    <x v="0"/>
    <s v="No"/>
    <x v="1"/>
    <s v="No"/>
    <n v="0"/>
    <n v="1"/>
    <x v="4"/>
  </r>
  <r>
    <n v="3394"/>
    <s v="André Lima"/>
    <x v="0"/>
    <d v="2024-08-07T00:00:00"/>
    <x v="0"/>
    <n v="15"/>
    <x v="2"/>
    <s v="Yes"/>
    <x v="0"/>
    <s v="Yes"/>
    <n v="20"/>
    <n v="7"/>
    <x v="12"/>
  </r>
  <r>
    <n v="3395"/>
    <s v="Bianca Freitas"/>
    <x v="2"/>
    <d v="2024-08-08T00:00:00"/>
    <x v="1"/>
    <n v="10"/>
    <x v="0"/>
    <s v="No"/>
    <x v="1"/>
    <s v="Yes"/>
    <n v="20"/>
    <n v="10"/>
    <x v="2"/>
  </r>
  <r>
    <n v="3396"/>
    <s v="Caio Mendes"/>
    <x v="1"/>
    <d v="2024-08-09T00:00:00"/>
    <x v="0"/>
    <n v="5"/>
    <x v="1"/>
    <s v="No"/>
    <x v="1"/>
    <s v="No"/>
    <n v="0"/>
    <n v="0"/>
    <x v="1"/>
  </r>
  <r>
    <n v="3397"/>
    <s v="Daniela Moura"/>
    <x v="0"/>
    <d v="2024-08-10T00:00:00"/>
    <x v="1"/>
    <n v="15"/>
    <x v="0"/>
    <s v="Yes"/>
    <x v="0"/>
    <s v="Yes"/>
    <n v="20"/>
    <n v="20"/>
    <x v="8"/>
  </r>
  <r>
    <n v="3398"/>
    <s v="Eduardo Costa"/>
    <x v="2"/>
    <d v="2024-08-11T00:00:00"/>
    <x v="0"/>
    <n v="10"/>
    <x v="2"/>
    <s v="No"/>
    <x v="1"/>
    <s v="Yes"/>
    <n v="20"/>
    <n v="15"/>
    <x v="7"/>
  </r>
  <r>
    <n v="3399"/>
    <s v="Fernanda Gomes"/>
    <x v="1"/>
    <d v="2024-08-12T00:00:00"/>
    <x v="1"/>
    <n v="5"/>
    <x v="0"/>
    <s v="No"/>
    <x v="1"/>
    <s v="No"/>
    <n v="0"/>
    <n v="1"/>
    <x v="4"/>
  </r>
  <r>
    <n v="3400"/>
    <s v="Guilherme Souza"/>
    <x v="0"/>
    <d v="2024-08-13T00:00:00"/>
    <x v="0"/>
    <n v="15"/>
    <x v="1"/>
    <s v="Yes"/>
    <x v="0"/>
    <s v="Yes"/>
    <n v="20"/>
    <n v="5"/>
    <x v="0"/>
  </r>
  <r>
    <n v="3401"/>
    <s v="Helena Ribeiro"/>
    <x v="2"/>
    <d v="2024-08-14T00:00:00"/>
    <x v="1"/>
    <n v="10"/>
    <x v="0"/>
    <s v="No"/>
    <x v="1"/>
    <s v="Yes"/>
    <n v="20"/>
    <n v="10"/>
    <x v="2"/>
  </r>
  <r>
    <n v="3402"/>
    <s v="Igor Santos"/>
    <x v="1"/>
    <d v="2024-08-15T00:00:00"/>
    <x v="0"/>
    <n v="5"/>
    <x v="2"/>
    <s v="No"/>
    <x v="1"/>
    <s v="No"/>
    <n v="0"/>
    <n v="0"/>
    <x v="1"/>
  </r>
  <r>
    <n v="3403"/>
    <s v="João Carvalho"/>
    <x v="0"/>
    <d v="2024-08-16T00:00:00"/>
    <x v="1"/>
    <n v="15"/>
    <x v="0"/>
    <s v="Yes"/>
    <x v="0"/>
    <s v="Yes"/>
    <n v="20"/>
    <n v="3"/>
    <x v="3"/>
  </r>
  <r>
    <n v="3404"/>
    <s v="Klara Fagundes"/>
    <x v="2"/>
    <d v="2024-08-17T00:00:00"/>
    <x v="0"/>
    <n v="10"/>
    <x v="1"/>
    <s v="No"/>
    <x v="1"/>
    <s v="Yes"/>
    <n v="20"/>
    <n v="15"/>
    <x v="7"/>
  </r>
  <r>
    <n v="3405"/>
    <s v="Lúcia Mendonça"/>
    <x v="1"/>
    <d v="2024-08-18T00:00:00"/>
    <x v="1"/>
    <n v="5"/>
    <x v="0"/>
    <s v="No"/>
    <x v="1"/>
    <s v="No"/>
    <n v="0"/>
    <n v="1"/>
    <x v="4"/>
  </r>
  <r>
    <n v="3406"/>
    <s v="Marcelo Novaes"/>
    <x v="1"/>
    <d v="2024-08-19T00:00:00"/>
    <x v="0"/>
    <n v="5"/>
    <x v="0"/>
    <s v="No"/>
    <x v="1"/>
    <s v="No"/>
    <n v="0"/>
    <n v="0"/>
    <x v="1"/>
  </r>
  <r>
    <n v="3407"/>
    <s v="Nina Pacheco"/>
    <x v="0"/>
    <d v="2024-08-20T00:00:00"/>
    <x v="1"/>
    <n v="15"/>
    <x v="2"/>
    <s v="Yes"/>
    <x v="0"/>
    <s v="Yes"/>
    <n v="20"/>
    <n v="7"/>
    <x v="12"/>
  </r>
  <r>
    <n v="3408"/>
    <s v="Olívia Rios"/>
    <x v="2"/>
    <d v="2024-08-21T00:00:00"/>
    <x v="0"/>
    <n v="10"/>
    <x v="1"/>
    <s v="No"/>
    <x v="1"/>
    <s v="Yes"/>
    <n v="20"/>
    <n v="10"/>
    <x v="2"/>
  </r>
  <r>
    <n v="3409"/>
    <s v="Paulo Quintana"/>
    <x v="1"/>
    <d v="2024-08-22T00:00:00"/>
    <x v="1"/>
    <n v="5"/>
    <x v="2"/>
    <s v="No"/>
    <x v="1"/>
    <s v="No"/>
    <n v="0"/>
    <n v="1"/>
    <x v="4"/>
  </r>
  <r>
    <n v="3410"/>
    <s v="Raquel Domingos"/>
    <x v="0"/>
    <d v="2024-08-23T00:00:00"/>
    <x v="0"/>
    <n v="15"/>
    <x v="0"/>
    <s v="Yes"/>
    <x v="0"/>
    <s v="Yes"/>
    <n v="20"/>
    <n v="15"/>
    <x v="14"/>
  </r>
  <r>
    <n v="3411"/>
    <s v="Samuel Viana"/>
    <x v="2"/>
    <d v="2024-08-24T00:00:00"/>
    <x v="1"/>
    <n v="10"/>
    <x v="0"/>
    <s v="No"/>
    <x v="1"/>
    <s v="Yes"/>
    <n v="20"/>
    <n v="5"/>
    <x v="13"/>
  </r>
  <r>
    <n v="3412"/>
    <s v="Tatiane Rocha"/>
    <x v="1"/>
    <d v="2024-08-25T00:00:00"/>
    <x v="0"/>
    <n v="5"/>
    <x v="1"/>
    <s v="No"/>
    <x v="1"/>
    <s v="No"/>
    <n v="0"/>
    <n v="0"/>
    <x v="1"/>
  </r>
  <r>
    <n v="3413"/>
    <s v="Ulysses Farias"/>
    <x v="0"/>
    <d v="2024-08-26T00:00:00"/>
    <x v="1"/>
    <n v="15"/>
    <x v="2"/>
    <s v="Yes"/>
    <x v="0"/>
    <s v="Yes"/>
    <n v="20"/>
    <n v="20"/>
    <x v="8"/>
  </r>
  <r>
    <n v="3414"/>
    <s v="Vanessa Moreira"/>
    <x v="2"/>
    <d v="2024-08-27T00:00:00"/>
    <x v="0"/>
    <n v="10"/>
    <x v="2"/>
    <s v="No"/>
    <x v="1"/>
    <s v="Yes"/>
    <n v="20"/>
    <n v="12"/>
    <x v="10"/>
  </r>
  <r>
    <n v="3415"/>
    <s v="William Carvalho"/>
    <x v="1"/>
    <d v="2024-08-28T00:00:00"/>
    <x v="1"/>
    <n v="5"/>
    <x v="0"/>
    <s v="No"/>
    <x v="1"/>
    <s v="No"/>
    <n v="0"/>
    <n v="2"/>
    <x v="11"/>
  </r>
  <r>
    <n v="3416"/>
    <s v="Ximena Barros"/>
    <x v="0"/>
    <d v="2024-08-29T00:00:00"/>
    <x v="0"/>
    <n v="15"/>
    <x v="1"/>
    <s v="Yes"/>
    <x v="0"/>
    <s v="Yes"/>
    <n v="20"/>
    <n v="5"/>
    <x v="0"/>
  </r>
  <r>
    <n v="3417"/>
    <s v="Yara Machado"/>
    <x v="2"/>
    <d v="2024-08-30T00:00:00"/>
    <x v="1"/>
    <n v="10"/>
    <x v="0"/>
    <s v="No"/>
    <x v="1"/>
    <s v="Yes"/>
    <n v="20"/>
    <n v="10"/>
    <x v="2"/>
  </r>
  <r>
    <n v="3418"/>
    <s v="Zacarias Costa"/>
    <x v="1"/>
    <d v="2024-08-31T00:00:00"/>
    <x v="0"/>
    <n v="5"/>
    <x v="2"/>
    <s v="No"/>
    <x v="1"/>
    <s v="No"/>
    <n v="0"/>
    <n v="0"/>
    <x v="1"/>
  </r>
  <r>
    <n v="3419"/>
    <s v="André Lopes"/>
    <x v="0"/>
    <d v="2024-09-01T00:00:00"/>
    <x v="1"/>
    <n v="15"/>
    <x v="0"/>
    <s v="Yes"/>
    <x v="0"/>
    <s v="Yes"/>
    <n v="20"/>
    <n v="3"/>
    <x v="3"/>
  </r>
  <r>
    <n v="3420"/>
    <s v="Beatriz Souza"/>
    <x v="2"/>
    <d v="2024-09-02T00:00:00"/>
    <x v="0"/>
    <n v="10"/>
    <x v="1"/>
    <s v="No"/>
    <x v="1"/>
    <s v="Yes"/>
    <n v="20"/>
    <n v="15"/>
    <x v="7"/>
  </r>
  <r>
    <n v="3421"/>
    <s v="Caio Pereira"/>
    <x v="1"/>
    <d v="2024-09-03T00:00:00"/>
    <x v="1"/>
    <n v="5"/>
    <x v="0"/>
    <s v="No"/>
    <x v="1"/>
    <s v="No"/>
    <n v="0"/>
    <n v="1"/>
    <x v="4"/>
  </r>
  <r>
    <n v="3422"/>
    <s v="Daniela Araújo"/>
    <x v="0"/>
    <d v="2024-09-04T00:00:00"/>
    <x v="0"/>
    <n v="15"/>
    <x v="2"/>
    <s v="Yes"/>
    <x v="0"/>
    <s v="Yes"/>
    <n v="20"/>
    <n v="7"/>
    <x v="12"/>
  </r>
  <r>
    <n v="3423"/>
    <s v="Eduardo Santos"/>
    <x v="2"/>
    <d v="2024-09-05T00:00:00"/>
    <x v="1"/>
    <n v="10"/>
    <x v="0"/>
    <s v="No"/>
    <x v="1"/>
    <s v="Yes"/>
    <n v="20"/>
    <n v="10"/>
    <x v="2"/>
  </r>
  <r>
    <n v="3424"/>
    <s v="Fernanda Lima"/>
    <x v="1"/>
    <d v="2024-09-06T00:00:00"/>
    <x v="0"/>
    <n v="5"/>
    <x v="1"/>
    <s v="No"/>
    <x v="1"/>
    <s v="No"/>
    <n v="0"/>
    <n v="0"/>
    <x v="1"/>
  </r>
  <r>
    <n v="3425"/>
    <s v="Gabriel Teixeira"/>
    <x v="0"/>
    <d v="2024-09-07T00:00:00"/>
    <x v="1"/>
    <n v="15"/>
    <x v="0"/>
    <s v="Yes"/>
    <x v="0"/>
    <s v="Yes"/>
    <n v="20"/>
    <n v="20"/>
    <x v="8"/>
  </r>
  <r>
    <n v="3426"/>
    <s v="Helena Ribeiro"/>
    <x v="2"/>
    <d v="2024-09-08T00:00:00"/>
    <x v="0"/>
    <n v="10"/>
    <x v="2"/>
    <s v="No"/>
    <x v="1"/>
    <s v="Yes"/>
    <n v="20"/>
    <n v="15"/>
    <x v="7"/>
  </r>
  <r>
    <n v="3427"/>
    <s v="Igor Mendes"/>
    <x v="1"/>
    <d v="2024-09-09T00:00:00"/>
    <x v="1"/>
    <n v="5"/>
    <x v="0"/>
    <s v="No"/>
    <x v="1"/>
    <s v="No"/>
    <n v="0"/>
    <n v="1"/>
    <x v="4"/>
  </r>
  <r>
    <n v="3428"/>
    <s v="Joana Silveira"/>
    <x v="0"/>
    <d v="2024-09-10T00:00:00"/>
    <x v="0"/>
    <n v="15"/>
    <x v="1"/>
    <s v="Yes"/>
    <x v="0"/>
    <s v="Yes"/>
    <n v="20"/>
    <n v="3"/>
    <x v="3"/>
  </r>
  <r>
    <n v="3429"/>
    <s v="Lucas Martins"/>
    <x v="2"/>
    <d v="2024-09-11T00:00:00"/>
    <x v="1"/>
    <n v="10"/>
    <x v="0"/>
    <s v="No"/>
    <x v="1"/>
    <s v="Yes"/>
    <n v="20"/>
    <n v="10"/>
    <x v="2"/>
  </r>
  <r>
    <n v="3430"/>
    <s v="Marcela Gouveia"/>
    <x v="1"/>
    <d v="2024-09-12T00:00:00"/>
    <x v="0"/>
    <n v="5"/>
    <x v="2"/>
    <s v="No"/>
    <x v="1"/>
    <s v="No"/>
    <n v="0"/>
    <n v="0"/>
    <x v="1"/>
  </r>
  <r>
    <n v="3431"/>
    <s v="Nicolas Borges"/>
    <x v="0"/>
    <d v="2024-09-13T00:00:00"/>
    <x v="1"/>
    <n v="15"/>
    <x v="0"/>
    <s v="Yes"/>
    <x v="0"/>
    <s v="Yes"/>
    <n v="20"/>
    <n v="15"/>
    <x v="14"/>
  </r>
  <r>
    <n v="3432"/>
    <s v="Olivia Freitas"/>
    <x v="2"/>
    <d v="2024-09-14T00:00:00"/>
    <x v="0"/>
    <n v="10"/>
    <x v="1"/>
    <s v="No"/>
    <x v="1"/>
    <s v="Yes"/>
    <n v="20"/>
    <n v="15"/>
    <x v="7"/>
  </r>
  <r>
    <n v="3433"/>
    <s v="Paulo Nogueira"/>
    <x v="1"/>
    <d v="2024-09-15T00:00:00"/>
    <x v="1"/>
    <n v="5"/>
    <x v="0"/>
    <s v="No"/>
    <x v="1"/>
    <s v="No"/>
    <n v="0"/>
    <n v="1"/>
    <x v="4"/>
  </r>
  <r>
    <n v="3434"/>
    <s v="Raquel Andrade"/>
    <x v="0"/>
    <d v="2024-09-16T00:00:00"/>
    <x v="0"/>
    <n v="15"/>
    <x v="2"/>
    <s v="Yes"/>
    <x v="0"/>
    <s v="Yes"/>
    <n v="20"/>
    <n v="7"/>
    <x v="12"/>
  </r>
  <r>
    <n v="3435"/>
    <s v="Sônia Carvalho"/>
    <x v="2"/>
    <d v="2024-09-17T00:00:00"/>
    <x v="1"/>
    <n v="10"/>
    <x v="0"/>
    <s v="No"/>
    <x v="1"/>
    <s v="Yes"/>
    <n v="20"/>
    <n v="10"/>
    <x v="2"/>
  </r>
  <r>
    <n v="3436"/>
    <s v="Tiago Rodrigues"/>
    <x v="1"/>
    <d v="2024-09-18T00:00:00"/>
    <x v="0"/>
    <n v="5"/>
    <x v="0"/>
    <s v="No"/>
    <x v="1"/>
    <s v="No"/>
    <n v="0"/>
    <n v="0"/>
    <x v="1"/>
  </r>
  <r>
    <n v="3437"/>
    <s v="Ursula Monteiro"/>
    <x v="0"/>
    <d v="2024-09-19T00:00:00"/>
    <x v="1"/>
    <n v="15"/>
    <x v="2"/>
    <s v="Yes"/>
    <x v="0"/>
    <s v="Yes"/>
    <n v="20"/>
    <n v="7"/>
    <x v="12"/>
  </r>
  <r>
    <n v="3438"/>
    <s v="Vanessa Pereira"/>
    <x v="2"/>
    <d v="2024-09-20T00:00:00"/>
    <x v="0"/>
    <n v="10"/>
    <x v="1"/>
    <s v="No"/>
    <x v="1"/>
    <s v="Yes"/>
    <n v="20"/>
    <n v="10"/>
    <x v="2"/>
  </r>
  <r>
    <n v="3439"/>
    <s v="Walter Silva"/>
    <x v="1"/>
    <d v="2024-09-21T00:00:00"/>
    <x v="1"/>
    <n v="5"/>
    <x v="2"/>
    <s v="No"/>
    <x v="1"/>
    <s v="No"/>
    <n v="0"/>
    <n v="1"/>
    <x v="4"/>
  </r>
  <r>
    <n v="3440"/>
    <s v="Xavier Almeida"/>
    <x v="0"/>
    <d v="2024-09-22T00:00:00"/>
    <x v="0"/>
    <n v="15"/>
    <x v="0"/>
    <s v="Yes"/>
    <x v="0"/>
    <s v="Yes"/>
    <n v="20"/>
    <n v="15"/>
    <x v="14"/>
  </r>
  <r>
    <n v="3441"/>
    <s v="Yasmine Correia"/>
    <x v="2"/>
    <d v="2024-09-23T00:00:00"/>
    <x v="1"/>
    <n v="10"/>
    <x v="0"/>
    <s v="No"/>
    <x v="1"/>
    <s v="Yes"/>
    <n v="20"/>
    <n v="5"/>
    <x v="13"/>
  </r>
  <r>
    <n v="3442"/>
    <s v="Zacarias Almeida"/>
    <x v="1"/>
    <d v="2024-09-24T00:00:00"/>
    <x v="0"/>
    <n v="5"/>
    <x v="1"/>
    <s v="No"/>
    <x v="1"/>
    <s v="No"/>
    <n v="0"/>
    <n v="0"/>
    <x v="1"/>
  </r>
  <r>
    <n v="3443"/>
    <s v="Amanda Costa"/>
    <x v="0"/>
    <d v="2024-09-25T00:00:00"/>
    <x v="1"/>
    <n v="15"/>
    <x v="2"/>
    <s v="Yes"/>
    <x v="0"/>
    <s v="Yes"/>
    <n v="20"/>
    <n v="20"/>
    <x v="8"/>
  </r>
  <r>
    <n v="3444"/>
    <s v="Bruno Ferreira"/>
    <x v="2"/>
    <d v="2024-09-26T00:00:00"/>
    <x v="0"/>
    <n v="10"/>
    <x v="2"/>
    <s v="No"/>
    <x v="1"/>
    <s v="Yes"/>
    <n v="20"/>
    <n v="12"/>
    <x v="10"/>
  </r>
  <r>
    <n v="3445"/>
    <s v="Carla Dias"/>
    <x v="1"/>
    <d v="2024-09-27T00:00:00"/>
    <x v="1"/>
    <n v="5"/>
    <x v="0"/>
    <s v="No"/>
    <x v="1"/>
    <s v="No"/>
    <n v="0"/>
    <n v="2"/>
    <x v="11"/>
  </r>
  <r>
    <n v="3446"/>
    <s v="Diogo Martins"/>
    <x v="0"/>
    <d v="2024-09-28T00:00:00"/>
    <x v="0"/>
    <n v="15"/>
    <x v="1"/>
    <s v="Yes"/>
    <x v="0"/>
    <s v="Yes"/>
    <n v="20"/>
    <n v="5"/>
    <x v="0"/>
  </r>
  <r>
    <n v="3447"/>
    <s v="Elisa Campos"/>
    <x v="2"/>
    <d v="2024-09-29T00:00:00"/>
    <x v="1"/>
    <n v="10"/>
    <x v="0"/>
    <s v="No"/>
    <x v="1"/>
    <s v="Yes"/>
    <n v="20"/>
    <n v="10"/>
    <x v="2"/>
  </r>
  <r>
    <n v="3448"/>
    <s v="Fabiana Lima"/>
    <x v="1"/>
    <d v="2024-09-30T00:00:00"/>
    <x v="0"/>
    <n v="5"/>
    <x v="2"/>
    <s v="No"/>
    <x v="1"/>
    <s v="No"/>
    <n v="0"/>
    <n v="0"/>
    <x v="1"/>
  </r>
  <r>
    <n v="3449"/>
    <s v="Gabriel Santos"/>
    <x v="0"/>
    <d v="2024-10-01T00:00:00"/>
    <x v="1"/>
    <n v="15"/>
    <x v="0"/>
    <s v="Yes"/>
    <x v="0"/>
    <s v="Yes"/>
    <n v="20"/>
    <n v="3"/>
    <x v="3"/>
  </r>
  <r>
    <n v="3450"/>
    <s v="Helena Ferreira"/>
    <x v="2"/>
    <d v="2024-10-02T00:00:00"/>
    <x v="0"/>
    <n v="10"/>
    <x v="1"/>
    <s v="No"/>
    <x v="1"/>
    <s v="Yes"/>
    <n v="20"/>
    <n v="15"/>
    <x v="7"/>
  </r>
  <r>
    <n v="3451"/>
    <s v="Ígor Nunes"/>
    <x v="1"/>
    <d v="2024-10-03T00:00:00"/>
    <x v="1"/>
    <n v="5"/>
    <x v="0"/>
    <s v="No"/>
    <x v="1"/>
    <s v="No"/>
    <n v="0"/>
    <n v="1"/>
    <x v="4"/>
  </r>
  <r>
    <n v="3452"/>
    <s v="Joana Silveira"/>
    <x v="0"/>
    <d v="2024-10-04T00:00:00"/>
    <x v="0"/>
    <n v="15"/>
    <x v="2"/>
    <s v="Yes"/>
    <x v="0"/>
    <s v="Yes"/>
    <n v="20"/>
    <n v="7"/>
    <x v="12"/>
  </r>
  <r>
    <n v="3453"/>
    <s v="Kléber Oliveira"/>
    <x v="2"/>
    <d v="2024-10-05T00:00:00"/>
    <x v="1"/>
    <n v="10"/>
    <x v="0"/>
    <s v="No"/>
    <x v="1"/>
    <s v="Yes"/>
    <n v="20"/>
    <n v="10"/>
    <x v="2"/>
  </r>
  <r>
    <n v="3454"/>
    <s v="Luciana Morais"/>
    <x v="1"/>
    <d v="2024-10-06T00:00:00"/>
    <x v="0"/>
    <n v="5"/>
    <x v="1"/>
    <s v="No"/>
    <x v="1"/>
    <s v="No"/>
    <n v="0"/>
    <n v="0"/>
    <x v="1"/>
  </r>
  <r>
    <n v="3455"/>
    <s v="Marcos Vinícius"/>
    <x v="0"/>
    <d v="2024-10-07T00:00:00"/>
    <x v="1"/>
    <n v="15"/>
    <x v="0"/>
    <s v="Yes"/>
    <x v="0"/>
    <s v="Yes"/>
    <n v="20"/>
    <n v="20"/>
    <x v="8"/>
  </r>
  <r>
    <n v="3456"/>
    <s v="Natália Barros"/>
    <x v="2"/>
    <d v="2024-10-08T00:00:00"/>
    <x v="0"/>
    <n v="10"/>
    <x v="2"/>
    <s v="No"/>
    <x v="1"/>
    <s v="Yes"/>
    <n v="20"/>
    <n v="15"/>
    <x v="7"/>
  </r>
  <r>
    <n v="3457"/>
    <s v="Oscar Sampaio"/>
    <x v="1"/>
    <d v="2024-10-09T00:00:00"/>
    <x v="1"/>
    <n v="5"/>
    <x v="0"/>
    <s v="No"/>
    <x v="1"/>
    <s v="No"/>
    <n v="0"/>
    <n v="1"/>
    <x v="4"/>
  </r>
  <r>
    <n v="3458"/>
    <s v="Patrícia Leite"/>
    <x v="0"/>
    <d v="2024-10-10T00:00:00"/>
    <x v="0"/>
    <n v="15"/>
    <x v="1"/>
    <s v="Yes"/>
    <x v="0"/>
    <s v="Yes"/>
    <n v="20"/>
    <n v="3"/>
    <x v="3"/>
  </r>
  <r>
    <n v="3459"/>
    <s v="Quênia Rocha"/>
    <x v="2"/>
    <d v="2024-10-11T00:00:00"/>
    <x v="1"/>
    <n v="10"/>
    <x v="0"/>
    <s v="No"/>
    <x v="1"/>
    <s v="Yes"/>
    <n v="20"/>
    <n v="10"/>
    <x v="2"/>
  </r>
  <r>
    <n v="3460"/>
    <s v="Rafael Torres"/>
    <x v="1"/>
    <d v="2024-10-12T00:00:00"/>
    <x v="0"/>
    <n v="5"/>
    <x v="2"/>
    <s v="No"/>
    <x v="1"/>
    <s v="No"/>
    <n v="0"/>
    <n v="0"/>
    <x v="1"/>
  </r>
  <r>
    <n v="3461"/>
    <s v="Sandra Gouveia"/>
    <x v="0"/>
    <d v="2024-10-13T00:00:00"/>
    <x v="1"/>
    <n v="15"/>
    <x v="0"/>
    <s v="Yes"/>
    <x v="0"/>
    <s v="Yes"/>
    <n v="20"/>
    <n v="15"/>
    <x v="14"/>
  </r>
  <r>
    <n v="3462"/>
    <s v="Tiago Lacerda"/>
    <x v="2"/>
    <d v="2024-10-14T00:00:00"/>
    <x v="0"/>
    <n v="10"/>
    <x v="1"/>
    <s v="No"/>
    <x v="1"/>
    <s v="Yes"/>
    <n v="20"/>
    <n v="15"/>
    <x v="7"/>
  </r>
  <r>
    <n v="3463"/>
    <s v="Ursula Fonseca"/>
    <x v="1"/>
    <d v="2024-10-15T00:00:00"/>
    <x v="1"/>
    <n v="5"/>
    <x v="0"/>
    <s v="No"/>
    <x v="1"/>
    <s v="No"/>
    <n v="0"/>
    <n v="1"/>
    <x v="4"/>
  </r>
  <r>
    <n v="3464"/>
    <s v="Vanessa Andrade"/>
    <x v="0"/>
    <d v="2024-10-16T00:00:00"/>
    <x v="0"/>
    <n v="15"/>
    <x v="2"/>
    <s v="Yes"/>
    <x v="0"/>
    <s v="Yes"/>
    <n v="20"/>
    <n v="7"/>
    <x v="12"/>
  </r>
  <r>
    <n v="3465"/>
    <s v="William Castro"/>
    <x v="2"/>
    <d v="2024-10-17T00:00:00"/>
    <x v="1"/>
    <n v="10"/>
    <x v="0"/>
    <s v="No"/>
    <x v="1"/>
    <s v="Yes"/>
    <n v="20"/>
    <n v="10"/>
    <x v="2"/>
  </r>
  <r>
    <n v="3466"/>
    <s v="Xavier Monteiro"/>
    <x v="1"/>
    <d v="2024-10-18T00:00:00"/>
    <x v="0"/>
    <n v="5"/>
    <x v="1"/>
    <s v="No"/>
    <x v="1"/>
    <s v="No"/>
    <n v="0"/>
    <n v="0"/>
    <x v="1"/>
  </r>
  <r>
    <n v="3467"/>
    <s v="Yasmin Figueira"/>
    <x v="0"/>
    <d v="2024-10-19T00:00:00"/>
    <x v="1"/>
    <n v="15"/>
    <x v="0"/>
    <s v="Yes"/>
    <x v="0"/>
    <s v="Yes"/>
    <n v="20"/>
    <n v="15"/>
    <x v="14"/>
  </r>
  <r>
    <n v="3468"/>
    <s v="Zacarias Mendonça"/>
    <x v="2"/>
    <d v="2024-10-20T00:00:00"/>
    <x v="0"/>
    <n v="10"/>
    <x v="2"/>
    <s v="No"/>
    <x v="1"/>
    <s v="Yes"/>
    <n v="20"/>
    <n v="12"/>
    <x v="10"/>
  </r>
  <r>
    <n v="3469"/>
    <s v="Amanda Menezes"/>
    <x v="1"/>
    <d v="2024-10-21T00:00:00"/>
    <x v="1"/>
    <n v="5"/>
    <x v="0"/>
    <s v="No"/>
    <x v="1"/>
    <s v="No"/>
    <n v="0"/>
    <n v="2"/>
    <x v="11"/>
  </r>
  <r>
    <n v="3470"/>
    <s v="Bruno Santos"/>
    <x v="0"/>
    <d v="2024-10-22T00:00:00"/>
    <x v="0"/>
    <n v="15"/>
    <x v="1"/>
    <s v="Yes"/>
    <x v="0"/>
    <s v="Yes"/>
    <n v="20"/>
    <n v="5"/>
    <x v="0"/>
  </r>
  <r>
    <n v="3471"/>
    <s v="Carla Ferreira"/>
    <x v="2"/>
    <d v="2024-10-23T00:00:00"/>
    <x v="1"/>
    <n v="10"/>
    <x v="0"/>
    <s v="No"/>
    <x v="1"/>
    <s v="Yes"/>
    <n v="20"/>
    <n v="10"/>
    <x v="2"/>
  </r>
  <r>
    <n v="3472"/>
    <s v="Diogo Alves"/>
    <x v="1"/>
    <d v="2024-10-24T00:00:00"/>
    <x v="0"/>
    <n v="5"/>
    <x v="2"/>
    <s v="No"/>
    <x v="1"/>
    <s v="No"/>
    <n v="0"/>
    <n v="0"/>
    <x v="1"/>
  </r>
  <r>
    <n v="3473"/>
    <s v="Elisa Neves"/>
    <x v="0"/>
    <d v="2024-10-25T00:00:00"/>
    <x v="1"/>
    <n v="15"/>
    <x v="0"/>
    <s v="Yes"/>
    <x v="0"/>
    <s v="Yes"/>
    <n v="20"/>
    <n v="3"/>
    <x v="3"/>
  </r>
  <r>
    <n v="3474"/>
    <s v="Fabiano Pires"/>
    <x v="2"/>
    <d v="2024-10-26T00:00:00"/>
    <x v="0"/>
    <n v="10"/>
    <x v="1"/>
    <s v="No"/>
    <x v="1"/>
    <s v="Yes"/>
    <n v="20"/>
    <n v="15"/>
    <x v="7"/>
  </r>
  <r>
    <n v="3475"/>
    <s v="Giovana Ribeiro"/>
    <x v="1"/>
    <d v="2024-10-27T00:00:00"/>
    <x v="1"/>
    <n v="5"/>
    <x v="0"/>
    <s v="No"/>
    <x v="1"/>
    <s v="No"/>
    <n v="0"/>
    <n v="1"/>
    <x v="4"/>
  </r>
  <r>
    <n v="3476"/>
    <s v="Hélio Costa"/>
    <x v="0"/>
    <d v="2024-10-28T00:00:00"/>
    <x v="0"/>
    <n v="15"/>
    <x v="2"/>
    <s v="Yes"/>
    <x v="0"/>
    <s v="Yes"/>
    <n v="20"/>
    <n v="7"/>
    <x v="12"/>
  </r>
  <r>
    <n v="3477"/>
    <s v="Íris Loureiro"/>
    <x v="2"/>
    <d v="2024-10-29T00:00:00"/>
    <x v="1"/>
    <n v="10"/>
    <x v="0"/>
    <s v="No"/>
    <x v="1"/>
    <s v="Yes"/>
    <n v="20"/>
    <n v="10"/>
    <x v="2"/>
  </r>
  <r>
    <n v="3478"/>
    <s v="João Pereira"/>
    <x v="1"/>
    <d v="2024-10-30T00:00:00"/>
    <x v="0"/>
    <n v="5"/>
    <x v="1"/>
    <s v="No"/>
    <x v="1"/>
    <s v="No"/>
    <n v="0"/>
    <n v="0"/>
    <x v="1"/>
  </r>
  <r>
    <n v="3479"/>
    <s v="Klara Silva"/>
    <x v="0"/>
    <d v="2024-10-31T00:00:00"/>
    <x v="1"/>
    <n v="15"/>
    <x v="0"/>
    <s v="Yes"/>
    <x v="0"/>
    <s v="Yes"/>
    <n v="20"/>
    <n v="20"/>
    <x v="8"/>
  </r>
  <r>
    <n v="3480"/>
    <s v="Luciana Barros"/>
    <x v="2"/>
    <d v="2024-11-01T00:00:00"/>
    <x v="0"/>
    <n v="10"/>
    <x v="2"/>
    <s v="No"/>
    <x v="1"/>
    <s v="Yes"/>
    <n v="20"/>
    <n v="15"/>
    <x v="7"/>
  </r>
  <r>
    <n v="3481"/>
    <s v="Marcos Gomes"/>
    <x v="1"/>
    <d v="2024-11-02T00:00:00"/>
    <x v="1"/>
    <n v="5"/>
    <x v="0"/>
    <s v="No"/>
    <x v="1"/>
    <s v="No"/>
    <n v="0"/>
    <n v="1"/>
    <x v="4"/>
  </r>
  <r>
    <n v="3482"/>
    <s v="Natália Soares"/>
    <x v="0"/>
    <d v="2024-11-03T00:00:00"/>
    <x v="0"/>
    <n v="15"/>
    <x v="1"/>
    <s v="Yes"/>
    <x v="0"/>
    <s v="Yes"/>
    <n v="20"/>
    <n v="3"/>
    <x v="3"/>
  </r>
  <r>
    <n v="3483"/>
    <s v="Oscar Machado"/>
    <x v="2"/>
    <d v="2024-11-04T00:00:00"/>
    <x v="1"/>
    <n v="10"/>
    <x v="0"/>
    <s v="No"/>
    <x v="1"/>
    <s v="Yes"/>
    <n v="20"/>
    <n v="10"/>
    <x v="2"/>
  </r>
  <r>
    <n v="3484"/>
    <s v="Patrícia Lima"/>
    <x v="1"/>
    <d v="2024-11-05T00:00:00"/>
    <x v="0"/>
    <n v="5"/>
    <x v="2"/>
    <s v="No"/>
    <x v="1"/>
    <s v="No"/>
    <n v="0"/>
    <n v="0"/>
    <x v="1"/>
  </r>
  <r>
    <n v="3485"/>
    <s v="Quirino Neto"/>
    <x v="0"/>
    <d v="2024-11-06T00:00:00"/>
    <x v="1"/>
    <n v="15"/>
    <x v="0"/>
    <s v="Yes"/>
    <x v="0"/>
    <s v="Yes"/>
    <n v="20"/>
    <n v="15"/>
    <x v="14"/>
  </r>
  <r>
    <n v="3486"/>
    <s v="Rafaela Souza"/>
    <x v="1"/>
    <d v="2024-11-07T00:00:00"/>
    <x v="0"/>
    <n v="5"/>
    <x v="0"/>
    <s v="No"/>
    <x v="1"/>
    <s v="No"/>
    <n v="0"/>
    <n v="0"/>
    <x v="1"/>
  </r>
  <r>
    <n v="3487"/>
    <s v="Sandro Almeida"/>
    <x v="0"/>
    <d v="2024-11-08T00:00:00"/>
    <x v="1"/>
    <n v="15"/>
    <x v="2"/>
    <s v="Yes"/>
    <x v="0"/>
    <s v="Yes"/>
    <n v="20"/>
    <n v="7"/>
    <x v="12"/>
  </r>
  <r>
    <n v="3488"/>
    <s v="Tânia Ribeiro"/>
    <x v="2"/>
    <d v="2024-11-09T00:00:00"/>
    <x v="0"/>
    <n v="10"/>
    <x v="1"/>
    <s v="No"/>
    <x v="1"/>
    <s v="Yes"/>
    <n v="20"/>
    <n v="10"/>
    <x v="2"/>
  </r>
  <r>
    <n v="3489"/>
    <s v="Ugo Dias"/>
    <x v="1"/>
    <d v="2024-11-10T00:00:00"/>
    <x v="1"/>
    <n v="5"/>
    <x v="2"/>
    <s v="No"/>
    <x v="1"/>
    <s v="No"/>
    <n v="0"/>
    <n v="1"/>
    <x v="4"/>
  </r>
  <r>
    <n v="3490"/>
    <s v="Valéria Lima"/>
    <x v="0"/>
    <d v="2024-11-11T00:00:00"/>
    <x v="0"/>
    <n v="15"/>
    <x v="0"/>
    <s v="Yes"/>
    <x v="0"/>
    <s v="Yes"/>
    <n v="20"/>
    <n v="15"/>
    <x v="14"/>
  </r>
  <r>
    <n v="3491"/>
    <s v="William Fernandes"/>
    <x v="2"/>
    <d v="2024-11-12T00:00:00"/>
    <x v="1"/>
    <n v="10"/>
    <x v="0"/>
    <s v="No"/>
    <x v="1"/>
    <s v="Yes"/>
    <n v="20"/>
    <n v="5"/>
    <x v="13"/>
  </r>
  <r>
    <n v="3492"/>
    <s v="Xuxa Mendes"/>
    <x v="1"/>
    <d v="2024-11-13T00:00:00"/>
    <x v="0"/>
    <n v="5"/>
    <x v="1"/>
    <s v="No"/>
    <x v="1"/>
    <s v="No"/>
    <n v="0"/>
    <n v="0"/>
    <x v="1"/>
  </r>
  <r>
    <n v="3493"/>
    <s v="Ygor Farias"/>
    <x v="0"/>
    <d v="2024-11-14T00:00:00"/>
    <x v="1"/>
    <n v="15"/>
    <x v="2"/>
    <s v="Yes"/>
    <x v="0"/>
    <s v="Yes"/>
    <n v="20"/>
    <n v="20"/>
    <x v="8"/>
  </r>
  <r>
    <n v="3494"/>
    <s v="Zilda Barros"/>
    <x v="2"/>
    <d v="2024-11-15T00:00:00"/>
    <x v="0"/>
    <n v="10"/>
    <x v="2"/>
    <s v="No"/>
    <x v="1"/>
    <s v="Yes"/>
    <n v="20"/>
    <n v="12"/>
    <x v="10"/>
  </r>
  <r>
    <n v="3495"/>
    <s v="Amanda Santos"/>
    <x v="1"/>
    <d v="2024-11-16T00:00:00"/>
    <x v="1"/>
    <n v="5"/>
    <x v="0"/>
    <s v="No"/>
    <x v="1"/>
    <s v="No"/>
    <n v="0"/>
    <n v="2"/>
    <x v="11"/>
  </r>
  <r>
    <n v="3496"/>
    <s v="Bruno Costa"/>
    <x v="0"/>
    <d v="2024-11-17T00:00:00"/>
    <x v="0"/>
    <n v="15"/>
    <x v="1"/>
    <s v="Yes"/>
    <x v="0"/>
    <s v="Yes"/>
    <n v="20"/>
    <n v="5"/>
    <x v="0"/>
  </r>
  <r>
    <n v="3497"/>
    <s v="Carla Rodrigues"/>
    <x v="2"/>
    <d v="2024-11-18T00:00:00"/>
    <x v="1"/>
    <n v="10"/>
    <x v="0"/>
    <s v="No"/>
    <x v="1"/>
    <s v="Yes"/>
    <n v="20"/>
    <n v="10"/>
    <x v="2"/>
  </r>
  <r>
    <n v="3498"/>
    <s v="Diogo Pereira"/>
    <x v="1"/>
    <d v="2024-11-19T00:00:00"/>
    <x v="0"/>
    <n v="5"/>
    <x v="2"/>
    <s v="No"/>
    <x v="1"/>
    <s v="No"/>
    <n v="0"/>
    <n v="0"/>
    <x v="1"/>
  </r>
  <r>
    <n v="3499"/>
    <s v="Elisa Correia"/>
    <x v="0"/>
    <d v="2024-11-20T00:00:00"/>
    <x v="1"/>
    <n v="15"/>
    <x v="0"/>
    <s v="Yes"/>
    <x v="0"/>
    <s v="Yes"/>
    <n v="20"/>
    <n v="3"/>
    <x v="3"/>
  </r>
  <r>
    <n v="3500"/>
    <s v="Fábio Lourenço"/>
    <x v="2"/>
    <d v="2024-11-21T00:00:00"/>
    <x v="0"/>
    <n v="10"/>
    <x v="1"/>
    <s v="No"/>
    <x v="1"/>
    <s v="Yes"/>
    <n v="20"/>
    <n v="15"/>
    <x v="7"/>
  </r>
  <r>
    <n v="3501"/>
    <s v="Gabriela Neves"/>
    <x v="1"/>
    <d v="2024-11-22T00:00:00"/>
    <x v="1"/>
    <n v="5"/>
    <x v="0"/>
    <s v="No"/>
    <x v="1"/>
    <s v="No"/>
    <n v="0"/>
    <n v="1"/>
    <x v="4"/>
  </r>
  <r>
    <n v="3502"/>
    <s v="Henrique Gonçalves"/>
    <x v="0"/>
    <d v="2024-11-23T00:00:00"/>
    <x v="0"/>
    <n v="15"/>
    <x v="2"/>
    <s v="Yes"/>
    <x v="0"/>
    <s v="Yes"/>
    <n v="20"/>
    <n v="7"/>
    <x v="12"/>
  </r>
  <r>
    <n v="3503"/>
    <s v="Íris Santos"/>
    <x v="2"/>
    <d v="2024-11-24T00:00:00"/>
    <x v="1"/>
    <n v="10"/>
    <x v="0"/>
    <s v="No"/>
    <x v="1"/>
    <s v="Yes"/>
    <n v="20"/>
    <n v="10"/>
    <x v="2"/>
  </r>
  <r>
    <n v="3504"/>
    <s v="João Marcelo Alves"/>
    <x v="1"/>
    <d v="2024-11-25T00:00:00"/>
    <x v="0"/>
    <n v="5"/>
    <x v="1"/>
    <s v="No"/>
    <x v="1"/>
    <s v="No"/>
    <n v="0"/>
    <n v="0"/>
    <x v="1"/>
  </r>
  <r>
    <n v="3505"/>
    <s v="Klara Fonseca"/>
    <x v="0"/>
    <d v="2024-11-26T00:00:00"/>
    <x v="1"/>
    <n v="15"/>
    <x v="0"/>
    <s v="Yes"/>
    <x v="0"/>
    <s v="Yes"/>
    <n v="20"/>
    <n v="20"/>
    <x v="8"/>
  </r>
  <r>
    <n v="3506"/>
    <s v="Lucas Mendonça"/>
    <x v="2"/>
    <d v="2024-11-27T00:00:00"/>
    <x v="0"/>
    <n v="10"/>
    <x v="2"/>
    <s v="No"/>
    <x v="1"/>
    <s v="Yes"/>
    <n v="20"/>
    <n v="15"/>
    <x v="7"/>
  </r>
  <r>
    <n v="3507"/>
    <s v="Marcela Torres"/>
    <x v="1"/>
    <d v="2024-11-28T00:00:00"/>
    <x v="1"/>
    <n v="5"/>
    <x v="0"/>
    <s v="No"/>
    <x v="1"/>
    <s v="No"/>
    <n v="0"/>
    <n v="1"/>
    <x v="4"/>
  </r>
  <r>
    <n v="3508"/>
    <s v="Natália Castro"/>
    <x v="0"/>
    <d v="2024-11-29T00:00:00"/>
    <x v="0"/>
    <n v="15"/>
    <x v="1"/>
    <s v="Yes"/>
    <x v="0"/>
    <s v="Yes"/>
    <n v="20"/>
    <n v="3"/>
    <x v="3"/>
  </r>
  <r>
    <n v="3509"/>
    <s v="Oscar Martins"/>
    <x v="2"/>
    <d v="2024-11-30T00:00:00"/>
    <x v="1"/>
    <n v="10"/>
    <x v="0"/>
    <s v="No"/>
    <x v="1"/>
    <s v="Yes"/>
    <n v="20"/>
    <n v="10"/>
    <x v="2"/>
  </r>
  <r>
    <n v="3510"/>
    <s v="Patrícia Oliveira"/>
    <x v="1"/>
    <d v="2024-12-01T00:00:00"/>
    <x v="0"/>
    <n v="5"/>
    <x v="2"/>
    <s v="No"/>
    <x v="1"/>
    <s v="No"/>
    <n v="0"/>
    <n v="0"/>
    <x v="1"/>
  </r>
  <r>
    <n v="3511"/>
    <s v="Quentin Nogueira"/>
    <x v="0"/>
    <d v="2024-12-02T00:00:00"/>
    <x v="1"/>
    <n v="15"/>
    <x v="0"/>
    <s v="Yes"/>
    <x v="0"/>
    <s v="Yes"/>
    <n v="20"/>
    <n v="15"/>
    <x v="14"/>
  </r>
  <r>
    <n v="3512"/>
    <s v="Raquel Silva"/>
    <x v="2"/>
    <d v="2024-12-03T00:00:00"/>
    <x v="0"/>
    <n v="10"/>
    <x v="1"/>
    <s v="No"/>
    <x v="1"/>
    <s v="Yes"/>
    <n v="20"/>
    <n v="15"/>
    <x v="7"/>
  </r>
  <r>
    <n v="3513"/>
    <s v="Sandro Gomes"/>
    <x v="1"/>
    <d v="2024-12-04T00:00:00"/>
    <x v="1"/>
    <n v="5"/>
    <x v="0"/>
    <s v="No"/>
    <x v="1"/>
    <s v="No"/>
    <n v="0"/>
    <n v="1"/>
    <x v="4"/>
  </r>
  <r>
    <n v="3514"/>
    <s v="Tânia Machado"/>
    <x v="0"/>
    <d v="2024-12-05T00:00:00"/>
    <x v="0"/>
    <n v="15"/>
    <x v="2"/>
    <s v="Yes"/>
    <x v="0"/>
    <s v="Yes"/>
    <n v="20"/>
    <n v="7"/>
    <x v="12"/>
  </r>
  <r>
    <n v="3515"/>
    <s v="Ursula Silva"/>
    <x v="2"/>
    <d v="2024-12-06T00:00:00"/>
    <x v="1"/>
    <n v="10"/>
    <x v="0"/>
    <s v="No"/>
    <x v="1"/>
    <s v="Yes"/>
    <n v="20"/>
    <n v="10"/>
    <x v="2"/>
  </r>
  <r>
    <n v="3516"/>
    <s v="Vanessa Moraes"/>
    <x v="1"/>
    <d v="2024-12-07T00:00:00"/>
    <x v="0"/>
    <n v="5"/>
    <x v="1"/>
    <s v="No"/>
    <x v="1"/>
    <s v="No"/>
    <n v="0"/>
    <n v="0"/>
    <x v="1"/>
  </r>
  <r>
    <n v="3517"/>
    <s v="William Carvalho"/>
    <x v="0"/>
    <d v="2024-12-08T00:00:00"/>
    <x v="1"/>
    <n v="15"/>
    <x v="0"/>
    <s v="Yes"/>
    <x v="0"/>
    <s v="Yes"/>
    <n v="20"/>
    <n v="20"/>
    <x v="8"/>
  </r>
  <r>
    <n v="3518"/>
    <s v="Xavier Reis"/>
    <x v="2"/>
    <d v="2024-12-09T00:00:00"/>
    <x v="0"/>
    <n v="10"/>
    <x v="2"/>
    <s v="No"/>
    <x v="1"/>
    <s v="Yes"/>
    <n v="20"/>
    <n v="12"/>
    <x v="10"/>
  </r>
  <r>
    <n v="3519"/>
    <s v="Yasmin Rocha"/>
    <x v="1"/>
    <d v="2024-12-10T00:00:00"/>
    <x v="1"/>
    <n v="5"/>
    <x v="0"/>
    <s v="No"/>
    <x v="1"/>
    <s v="No"/>
    <n v="0"/>
    <n v="2"/>
    <x v="11"/>
  </r>
  <r>
    <n v="3520"/>
    <s v="Zacarias Duarte"/>
    <x v="0"/>
    <d v="2024-12-11T00:00:00"/>
    <x v="0"/>
    <n v="15"/>
    <x v="1"/>
    <s v="Yes"/>
    <x v="0"/>
    <s v="Yes"/>
    <n v="20"/>
    <n v="5"/>
    <x v="0"/>
  </r>
  <r>
    <n v="3521"/>
    <s v="Amanda Freitas"/>
    <x v="2"/>
    <d v="2024-12-12T00:00:00"/>
    <x v="1"/>
    <n v="10"/>
    <x v="0"/>
    <s v="No"/>
    <x v="1"/>
    <s v="Yes"/>
    <n v="20"/>
    <n v="10"/>
    <x v="2"/>
  </r>
  <r>
    <n v="3522"/>
    <s v="Bruno Almeida"/>
    <x v="1"/>
    <d v="2024-12-13T00:00:00"/>
    <x v="0"/>
    <n v="5"/>
    <x v="2"/>
    <s v="No"/>
    <x v="1"/>
    <s v="No"/>
    <n v="0"/>
    <n v="0"/>
    <x v="1"/>
  </r>
  <r>
    <n v="3523"/>
    <s v="Carla Siqueira"/>
    <x v="0"/>
    <d v="2024-12-14T00:00:00"/>
    <x v="1"/>
    <n v="15"/>
    <x v="0"/>
    <s v="Yes"/>
    <x v="0"/>
    <s v="Yes"/>
    <n v="20"/>
    <n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692B5-5AB4-4BF8-ACE2-1AC67881B185}" name="PivotTable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G29:J45" firstHeaderRow="0" firstDataRow="1" firstDataCol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/>
    <pivotField dataField="1" numFmtId="44" showAll="0"/>
    <pivotField showAll="0"/>
    <pivotField showAll="0"/>
    <pivotField dataField="1"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axis="axisRow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1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Minecraft Season Pass Price" fld="10" baseField="0" baseItem="0" numFmtId="44"/>
    <dataField name="Sum of Subscription Price" fld="5" baseField="0" baseItem="0" numFmtId="44"/>
    <dataField name="Sum of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D970F-DFF7-47A8-82DF-A018B3998171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J12:K16" firstHeaderRow="1" firstDataRow="1" firstDataCol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Value" fld="12" baseField="0" baseItem="0" numFmtId="44"/>
  </dataFields>
  <chartFormats count="4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FD33E-F7E8-4F09-9B17-6074F4C04652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9:E29" firstHeaderRow="1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</pivotFields>
  <rowFields count="2">
    <field x="2"/>
    <field x="4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Sum of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3B8B2E-8CFF-4987-8A92-EF96068A0D5D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2:H25" firstHeaderRow="1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</pivotFields>
  <rowFields count="2">
    <field x="2"/>
    <field x="6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Subscription Type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49BE2-79CA-48D2-A712-6AB97470B1E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12:E16" firstHeaderRow="1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Value" fld="12" baseField="0" baseItem="0" numFmtId="44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/>
    <tableColumn id="9" xr3:uid="{6E29F111-C395-4580-9DAD-3407D9E8B1A4}" name="Minecraft Season Pass" dataDxfId="3"/>
    <tableColumn id="10" xr3:uid="{EF544EAA-7F25-4FD5-A10E-8E62804DB9E3}" name="Minecraft Season Pass Price" dataDxfId="2"/>
    <tableColumn id="11" xr3:uid="{7F6EB64A-1F07-4E48-9F0F-AC7D9DCD26F8}" name="Coupon Value" dataDxfId="1"/>
    <tableColumn id="12" xr3:uid="{2B04ABC8-DE6F-426E-ADC0-D8AFC68CA58E}" name="Total Valu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sqref="A1:M5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12:K52"/>
  <sheetViews>
    <sheetView showGridLines="0" topLeftCell="A31" workbookViewId="0">
      <selection activeCell="C50" sqref="C50:D52"/>
    </sheetView>
  </sheetViews>
  <sheetFormatPr defaultRowHeight="15" x14ac:dyDescent="0.25"/>
  <cols>
    <col min="3" max="3" width="18.42578125" bestFit="1" customWidth="1"/>
    <col min="4" max="4" width="13.42578125" bestFit="1" customWidth="1"/>
    <col min="5" max="5" width="17.85546875" bestFit="1" customWidth="1"/>
    <col min="6" max="6" width="13.28515625" bestFit="1" customWidth="1"/>
    <col min="7" max="7" width="13.42578125" bestFit="1" customWidth="1"/>
    <col min="8" max="8" width="33.5703125" bestFit="1" customWidth="1"/>
    <col min="9" max="9" width="24.5703125" bestFit="1" customWidth="1"/>
    <col min="10" max="10" width="26.28515625" bestFit="1" customWidth="1"/>
    <col min="11" max="11" width="17.85546875" bestFit="1" customWidth="1"/>
    <col min="12" max="12" width="26" bestFit="1" customWidth="1"/>
    <col min="13" max="15" width="9.7109375" bestFit="1" customWidth="1"/>
    <col min="16" max="16" width="15.5703125" bestFit="1" customWidth="1"/>
    <col min="17" max="17" width="12.140625" bestFit="1" customWidth="1"/>
  </cols>
  <sheetData>
    <row r="12" spans="4:11" x14ac:dyDescent="0.25">
      <c r="D12" s="12" t="s">
        <v>313</v>
      </c>
      <c r="E12" t="s">
        <v>316</v>
      </c>
      <c r="G12" s="12" t="s">
        <v>313</v>
      </c>
      <c r="H12" t="s">
        <v>317</v>
      </c>
      <c r="J12" s="12" t="s">
        <v>313</v>
      </c>
      <c r="K12" t="s">
        <v>316</v>
      </c>
    </row>
    <row r="13" spans="4:11" x14ac:dyDescent="0.25">
      <c r="D13" s="13" t="s">
        <v>22</v>
      </c>
      <c r="E13" s="14">
        <v>440</v>
      </c>
      <c r="G13" s="13" t="s">
        <v>22</v>
      </c>
      <c r="H13" s="15">
        <v>100</v>
      </c>
      <c r="J13" s="13" t="s">
        <v>24</v>
      </c>
      <c r="K13" s="14">
        <v>1739</v>
      </c>
    </row>
    <row r="14" spans="4:11" x14ac:dyDescent="0.25">
      <c r="D14" s="13" t="s">
        <v>26</v>
      </c>
      <c r="E14" s="14">
        <v>1786</v>
      </c>
      <c r="G14" s="16" t="s">
        <v>24</v>
      </c>
      <c r="H14" s="15">
        <v>24</v>
      </c>
      <c r="J14" s="13" t="s">
        <v>20</v>
      </c>
      <c r="K14" s="14">
        <v>3567</v>
      </c>
    </row>
    <row r="15" spans="4:11" x14ac:dyDescent="0.25">
      <c r="D15" s="13" t="s">
        <v>18</v>
      </c>
      <c r="E15" s="14">
        <v>5388</v>
      </c>
      <c r="G15" s="16" t="s">
        <v>20</v>
      </c>
      <c r="H15" s="15">
        <v>48</v>
      </c>
      <c r="J15" s="13" t="s">
        <v>27</v>
      </c>
      <c r="K15" s="14">
        <v>2308</v>
      </c>
    </row>
    <row r="16" spans="4:11" x14ac:dyDescent="0.25">
      <c r="D16" s="13" t="s">
        <v>314</v>
      </c>
      <c r="E16" s="14">
        <v>7614</v>
      </c>
      <c r="G16" s="16" t="s">
        <v>27</v>
      </c>
      <c r="H16" s="15">
        <v>28</v>
      </c>
      <c r="J16" s="13" t="s">
        <v>314</v>
      </c>
      <c r="K16" s="14">
        <v>7614</v>
      </c>
    </row>
    <row r="17" spans="4:11" x14ac:dyDescent="0.25">
      <c r="G17" s="13" t="s">
        <v>26</v>
      </c>
      <c r="H17" s="15">
        <v>95</v>
      </c>
    </row>
    <row r="18" spans="4:11" x14ac:dyDescent="0.25">
      <c r="G18" s="16" t="s">
        <v>24</v>
      </c>
      <c r="H18" s="15">
        <v>26</v>
      </c>
    </row>
    <row r="19" spans="4:11" x14ac:dyDescent="0.25">
      <c r="D19" s="12" t="s">
        <v>313</v>
      </c>
      <c r="E19" t="s">
        <v>316</v>
      </c>
      <c r="G19" s="16" t="s">
        <v>20</v>
      </c>
      <c r="H19" s="15">
        <v>45</v>
      </c>
      <c r="J19" s="13" t="s">
        <v>318</v>
      </c>
      <c r="K19" s="14">
        <f>SUM(B̳ases!M2:M294)</f>
        <v>7614</v>
      </c>
    </row>
    <row r="20" spans="4:11" x14ac:dyDescent="0.25">
      <c r="D20" s="13" t="s">
        <v>22</v>
      </c>
      <c r="E20" s="14">
        <v>440</v>
      </c>
      <c r="G20" s="16" t="s">
        <v>27</v>
      </c>
      <c r="H20" s="15">
        <v>24</v>
      </c>
      <c r="J20" s="13" t="s">
        <v>319</v>
      </c>
      <c r="K20">
        <f>COUNT(Tabela1[Subscriber ID])</f>
        <v>295</v>
      </c>
    </row>
    <row r="21" spans="4:11" x14ac:dyDescent="0.25">
      <c r="D21" s="16" t="s">
        <v>23</v>
      </c>
      <c r="E21" s="14">
        <v>195</v>
      </c>
      <c r="G21" s="13" t="s">
        <v>18</v>
      </c>
      <c r="H21" s="15">
        <v>98</v>
      </c>
      <c r="J21" s="13" t="s">
        <v>320</v>
      </c>
      <c r="K21" s="14">
        <f>AVERAGE(B̳ases!M2:M294)</f>
        <v>25.986348122866893</v>
      </c>
    </row>
    <row r="22" spans="4:11" x14ac:dyDescent="0.25">
      <c r="D22" s="16" t="s">
        <v>19</v>
      </c>
      <c r="E22" s="14">
        <v>245</v>
      </c>
      <c r="G22" s="16" t="s">
        <v>24</v>
      </c>
      <c r="H22" s="15">
        <v>20</v>
      </c>
      <c r="J22" s="13" t="s">
        <v>321</v>
      </c>
      <c r="K22" s="17">
        <f>COUNTIF(B̳ases!E2:E294, "Yes") / COUNTA(B̳ases!A2:A294)</f>
        <v>0.50170648464163825</v>
      </c>
    </row>
    <row r="23" spans="4:11" x14ac:dyDescent="0.25">
      <c r="D23" s="13" t="s">
        <v>26</v>
      </c>
      <c r="E23" s="14">
        <v>1786</v>
      </c>
      <c r="G23" s="16" t="s">
        <v>20</v>
      </c>
      <c r="H23" s="15">
        <v>45</v>
      </c>
      <c r="J23" s="13" t="s">
        <v>322</v>
      </c>
      <c r="K23" s="17">
        <f>COUNTIF(B̳ases!H2:H294, "Yes") / COUNTA(B̳ases!A2:A294)</f>
        <v>0.33447098976109213</v>
      </c>
    </row>
    <row r="24" spans="4:11" x14ac:dyDescent="0.25">
      <c r="D24" s="16" t="s">
        <v>23</v>
      </c>
      <c r="E24" s="14">
        <v>969</v>
      </c>
      <c r="G24" s="16" t="s">
        <v>27</v>
      </c>
      <c r="H24" s="15">
        <v>33</v>
      </c>
    </row>
    <row r="25" spans="4:11" x14ac:dyDescent="0.25">
      <c r="D25" s="16" t="s">
        <v>19</v>
      </c>
      <c r="E25" s="14">
        <v>817</v>
      </c>
      <c r="G25" s="13" t="s">
        <v>314</v>
      </c>
      <c r="H25" s="15">
        <v>293</v>
      </c>
    </row>
    <row r="26" spans="4:11" x14ac:dyDescent="0.25">
      <c r="D26" s="13" t="s">
        <v>18</v>
      </c>
      <c r="E26" s="14">
        <v>5388</v>
      </c>
    </row>
    <row r="27" spans="4:11" x14ac:dyDescent="0.25">
      <c r="D27" s="16" t="s">
        <v>23</v>
      </c>
      <c r="E27" s="14">
        <v>2679</v>
      </c>
    </row>
    <row r="28" spans="4:11" x14ac:dyDescent="0.25">
      <c r="D28" s="16" t="s">
        <v>19</v>
      </c>
      <c r="E28" s="14">
        <v>2709</v>
      </c>
    </row>
    <row r="29" spans="4:11" x14ac:dyDescent="0.25">
      <c r="D29" s="13" t="s">
        <v>314</v>
      </c>
      <c r="E29" s="14">
        <v>7614</v>
      </c>
      <c r="G29" s="12" t="s">
        <v>313</v>
      </c>
      <c r="H29" t="s">
        <v>323</v>
      </c>
      <c r="I29" t="s">
        <v>315</v>
      </c>
      <c r="J29" t="s">
        <v>324</v>
      </c>
    </row>
    <row r="30" spans="4:11" x14ac:dyDescent="0.25">
      <c r="G30" s="18">
        <v>3</v>
      </c>
      <c r="H30" s="14">
        <v>0</v>
      </c>
      <c r="I30" s="14">
        <v>55</v>
      </c>
      <c r="J30" s="15">
        <v>0</v>
      </c>
    </row>
    <row r="31" spans="4:11" x14ac:dyDescent="0.25">
      <c r="G31" s="18">
        <v>4</v>
      </c>
      <c r="H31" s="14">
        <v>0</v>
      </c>
      <c r="I31" s="14">
        <v>190</v>
      </c>
      <c r="J31" s="15">
        <v>0</v>
      </c>
    </row>
    <row r="32" spans="4:11" x14ac:dyDescent="0.25">
      <c r="G32" s="18">
        <v>5</v>
      </c>
      <c r="H32" s="14">
        <v>0</v>
      </c>
      <c r="I32" s="14">
        <v>255</v>
      </c>
      <c r="J32" s="15">
        <v>0</v>
      </c>
    </row>
    <row r="33" spans="7:10" x14ac:dyDescent="0.25">
      <c r="G33" s="18">
        <v>15</v>
      </c>
      <c r="H33" s="14">
        <v>600</v>
      </c>
      <c r="I33" s="14">
        <v>300</v>
      </c>
      <c r="J33" s="15">
        <v>0</v>
      </c>
    </row>
    <row r="34" spans="7:10" x14ac:dyDescent="0.25">
      <c r="G34" s="18">
        <v>18</v>
      </c>
      <c r="H34" s="14">
        <v>220</v>
      </c>
      <c r="I34" s="14">
        <v>110</v>
      </c>
      <c r="J34" s="15">
        <v>0</v>
      </c>
    </row>
    <row r="35" spans="7:10" x14ac:dyDescent="0.25">
      <c r="G35" s="18">
        <v>20</v>
      </c>
      <c r="H35" s="14">
        <v>860</v>
      </c>
      <c r="I35" s="14">
        <v>430</v>
      </c>
      <c r="J35" s="15">
        <v>0</v>
      </c>
    </row>
    <row r="36" spans="7:10" x14ac:dyDescent="0.25">
      <c r="G36" s="18">
        <v>25</v>
      </c>
      <c r="H36" s="14">
        <v>200</v>
      </c>
      <c r="I36" s="14">
        <v>100</v>
      </c>
      <c r="J36" s="15">
        <v>0</v>
      </c>
    </row>
    <row r="37" spans="7:10" x14ac:dyDescent="0.25">
      <c r="G37" s="18">
        <v>28</v>
      </c>
      <c r="H37" s="14">
        <v>20</v>
      </c>
      <c r="I37" s="14">
        <v>10</v>
      </c>
      <c r="J37" s="15">
        <v>0</v>
      </c>
    </row>
    <row r="38" spans="7:10" x14ac:dyDescent="0.25">
      <c r="G38" s="18">
        <v>45</v>
      </c>
      <c r="H38" s="14">
        <v>440</v>
      </c>
      <c r="I38" s="14">
        <v>330</v>
      </c>
      <c r="J38" s="15">
        <v>660</v>
      </c>
    </row>
    <row r="39" spans="7:10" x14ac:dyDescent="0.25">
      <c r="G39" s="18">
        <v>50</v>
      </c>
      <c r="H39" s="14">
        <v>300</v>
      </c>
      <c r="I39" s="14">
        <v>225</v>
      </c>
      <c r="J39" s="15">
        <v>450</v>
      </c>
    </row>
    <row r="40" spans="7:10" x14ac:dyDescent="0.25">
      <c r="G40" s="18">
        <v>55</v>
      </c>
      <c r="H40" s="14">
        <v>20</v>
      </c>
      <c r="I40" s="14">
        <v>15</v>
      </c>
      <c r="J40" s="15">
        <v>30</v>
      </c>
    </row>
    <row r="41" spans="7:10" x14ac:dyDescent="0.25">
      <c r="G41" s="18">
        <v>57</v>
      </c>
      <c r="H41" s="14">
        <v>20</v>
      </c>
      <c r="I41" s="14">
        <v>15</v>
      </c>
      <c r="J41" s="15">
        <v>30</v>
      </c>
    </row>
    <row r="42" spans="7:10" x14ac:dyDescent="0.25">
      <c r="G42" s="18">
        <v>58</v>
      </c>
      <c r="H42" s="14">
        <v>460</v>
      </c>
      <c r="I42" s="14">
        <v>345</v>
      </c>
      <c r="J42" s="15">
        <v>690</v>
      </c>
    </row>
    <row r="43" spans="7:10" x14ac:dyDescent="0.25">
      <c r="G43" s="18">
        <v>60</v>
      </c>
      <c r="H43" s="14">
        <v>300</v>
      </c>
      <c r="I43" s="14">
        <v>225</v>
      </c>
      <c r="J43" s="15">
        <v>450</v>
      </c>
    </row>
    <row r="44" spans="7:10" x14ac:dyDescent="0.25">
      <c r="G44" s="18">
        <v>62</v>
      </c>
      <c r="H44" s="14">
        <v>420</v>
      </c>
      <c r="I44" s="14">
        <v>315</v>
      </c>
      <c r="J44" s="15">
        <v>630</v>
      </c>
    </row>
    <row r="45" spans="7:10" x14ac:dyDescent="0.25">
      <c r="G45" s="18" t="s">
        <v>314</v>
      </c>
      <c r="H45" s="14">
        <v>3860</v>
      </c>
      <c r="I45" s="14">
        <v>2920</v>
      </c>
      <c r="J45" s="15">
        <v>2940</v>
      </c>
    </row>
    <row r="50" spans="3:4" x14ac:dyDescent="0.25">
      <c r="C50" t="s">
        <v>325</v>
      </c>
      <c r="D50" s="14">
        <f>SUM(B̳ases!F2:F294)</f>
        <v>2920</v>
      </c>
    </row>
    <row r="51" spans="3:4" x14ac:dyDescent="0.25">
      <c r="C51" t="s">
        <v>326</v>
      </c>
      <c r="D51" s="19">
        <f>SUMIF(B̳ases!I2:I294, "&gt;0")</f>
        <v>2940</v>
      </c>
    </row>
    <row r="52" spans="3:4" x14ac:dyDescent="0.25">
      <c r="C52" t="s">
        <v>327</v>
      </c>
      <c r="D52" s="19">
        <f>SUMIF(B̳ases!K2:K294, "&gt;0")</f>
        <v>3860</v>
      </c>
    </row>
  </sheetData>
  <pageMargins left="0.511811024" right="0.511811024" top="0.78740157499999996" bottom="0.78740157499999996" header="0.31496062000000002" footer="0.31496062000000002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7"/>
  <sheetViews>
    <sheetView showGridLines="0" showRowColHeaders="0" tabSelected="1" zoomScale="55" zoomScaleNormal="55" zoomScaleSheetLayoutView="100" workbookViewId="0">
      <selection activeCell="A32" sqref="A32"/>
    </sheetView>
  </sheetViews>
  <sheetFormatPr defaultRowHeight="15" x14ac:dyDescent="0.25"/>
  <cols>
    <col min="1" max="1" width="41.5703125" style="5" customWidth="1"/>
    <col min="2" max="2" width="3.5703125" customWidth="1"/>
    <col min="12" max="12" width="6.5703125" customWidth="1"/>
  </cols>
  <sheetData>
    <row r="2" ht="39" customHeight="1" x14ac:dyDescent="0.25"/>
    <row r="3" ht="8.25" customHeight="1" x14ac:dyDescent="0.25"/>
    <row r="4" ht="7.5" customHeight="1" x14ac:dyDescent="0.25"/>
    <row r="5" ht="10.5" customHeight="1" x14ac:dyDescent="0.25"/>
    <row r="6" ht="9.75" customHeight="1" x14ac:dyDescent="0.25"/>
    <row r="7" ht="33" customHeight="1" x14ac:dyDescent="0.25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Leonardo Pereira Stabile</cp:lastModifiedBy>
  <dcterms:created xsi:type="dcterms:W3CDTF">2024-12-19T13:13:10Z</dcterms:created>
  <dcterms:modified xsi:type="dcterms:W3CDTF">2026-03-25T22:52:05Z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